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515" codeName="{00000000-0000-0000-0000-000000000000}"/>
  <workbookPr showInkAnnotation="0" codeName="ThisWorkbook" autoCompressPictures="0"/>
  <bookViews>
    <workbookView xWindow="0" yWindow="0" windowWidth="26000" windowHeight="28280" tabRatio="500"/>
  </bookViews>
  <sheets>
    <sheet name="House" sheetId="1" r:id="rId1"/>
    <sheet name="Weather" sheetId="2" r:id="rId2"/>
  </sheets>
  <definedNames>
    <definedName name="_c">House!$P$3</definedName>
    <definedName name="a">House!$N$3</definedName>
    <definedName name="b">House!$O$3</definedName>
    <definedName name="c_">House!$P$3</definedName>
    <definedName name="CA">House!$F$3</definedName>
    <definedName name="CM">House!$G$3</definedName>
    <definedName name="DB">House!$L$3</definedName>
    <definedName name="HM">House!$E$3</definedName>
    <definedName name="p">House!$S$1</definedName>
    <definedName name="q">House!$S$2</definedName>
    <definedName name="QH">House!$I$3</definedName>
    <definedName name="rb2_4ac">House!$S$3</definedName>
    <definedName name="TC">House!$J$3</definedName>
    <definedName name="TH">House!$K$3</definedName>
    <definedName name="UA">House!$D$3</definedName>
    <definedName name="weather">Weather!$A$1:$C$27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J9" i="1"/>
  <c r="K9" i="1"/>
  <c r="L9" i="1"/>
  <c r="M9" i="1"/>
  <c r="P9" i="1"/>
  <c r="Q9" i="1"/>
  <c r="R9" i="1"/>
  <c r="D10" i="1"/>
  <c r="G10" i="1"/>
  <c r="H10" i="1"/>
  <c r="C9" i="1"/>
  <c r="F9" i="1"/>
  <c r="B10" i="1"/>
  <c r="J10" i="1"/>
  <c r="P10" i="1"/>
  <c r="S9" i="1"/>
  <c r="E10" i="1"/>
  <c r="K10" i="1"/>
  <c r="L10" i="1"/>
  <c r="M10" i="1"/>
  <c r="Q10" i="1"/>
  <c r="R10" i="1"/>
  <c r="D11" i="1"/>
  <c r="G11" i="1"/>
  <c r="H11" i="1"/>
  <c r="A10" i="1"/>
  <c r="C10" i="1"/>
  <c r="F10" i="1"/>
  <c r="B11" i="1"/>
  <c r="J11" i="1"/>
  <c r="S10" i="1"/>
  <c r="E11" i="1"/>
  <c r="K11" i="1"/>
  <c r="L11" i="1"/>
  <c r="M11" i="1"/>
  <c r="P11" i="1"/>
  <c r="Q11" i="1"/>
  <c r="R11" i="1"/>
  <c r="D12" i="1"/>
  <c r="G12" i="1"/>
  <c r="H12" i="1"/>
  <c r="A11" i="1"/>
  <c r="C11" i="1"/>
  <c r="F11" i="1"/>
  <c r="B12" i="1"/>
  <c r="J12" i="1"/>
  <c r="S11" i="1"/>
  <c r="E12" i="1"/>
  <c r="K12" i="1"/>
  <c r="L12" i="1"/>
  <c r="M12" i="1"/>
  <c r="P12" i="1"/>
  <c r="Q12" i="1"/>
  <c r="R12" i="1"/>
  <c r="D13" i="1"/>
  <c r="G13" i="1"/>
  <c r="H13" i="1"/>
  <c r="A12" i="1"/>
  <c r="C12" i="1"/>
  <c r="F12" i="1"/>
  <c r="B13" i="1"/>
  <c r="J13" i="1"/>
  <c r="S12" i="1"/>
  <c r="E13" i="1"/>
  <c r="K13" i="1"/>
  <c r="L13" i="1"/>
  <c r="M13" i="1"/>
  <c r="P13" i="1"/>
  <c r="Q13" i="1"/>
  <c r="R13" i="1"/>
  <c r="D14" i="1"/>
  <c r="G14" i="1"/>
  <c r="H14" i="1"/>
  <c r="A13" i="1"/>
  <c r="C13" i="1"/>
  <c r="F13" i="1"/>
  <c r="B14" i="1"/>
  <c r="J14" i="1"/>
  <c r="S13" i="1"/>
  <c r="E14" i="1"/>
  <c r="K14" i="1"/>
  <c r="L14" i="1"/>
  <c r="M14" i="1"/>
  <c r="P14" i="1"/>
  <c r="Q14" i="1"/>
  <c r="R14" i="1"/>
  <c r="D15" i="1"/>
  <c r="G15" i="1"/>
  <c r="H15" i="1"/>
  <c r="A14" i="1"/>
  <c r="C14" i="1"/>
  <c r="F14" i="1"/>
  <c r="B15" i="1"/>
  <c r="J15" i="1"/>
  <c r="S14" i="1"/>
  <c r="E15" i="1"/>
  <c r="K15" i="1"/>
  <c r="L15" i="1"/>
  <c r="M15" i="1"/>
  <c r="P15" i="1"/>
  <c r="Q15" i="1"/>
  <c r="R15" i="1"/>
  <c r="D16" i="1"/>
  <c r="G16" i="1"/>
  <c r="H16" i="1"/>
  <c r="A15" i="1"/>
  <c r="C15" i="1"/>
  <c r="F15" i="1"/>
  <c r="B16" i="1"/>
  <c r="J16" i="1"/>
  <c r="S15" i="1"/>
  <c r="E16" i="1"/>
  <c r="K16" i="1"/>
  <c r="L16" i="1"/>
  <c r="M16" i="1"/>
  <c r="P16" i="1"/>
  <c r="Q16" i="1"/>
  <c r="R16" i="1"/>
  <c r="D17" i="1"/>
  <c r="G17" i="1"/>
  <c r="H17" i="1"/>
  <c r="A16" i="1"/>
  <c r="C16" i="1"/>
  <c r="F16" i="1"/>
  <c r="B17" i="1"/>
  <c r="J17" i="1"/>
  <c r="S16" i="1"/>
  <c r="E17" i="1"/>
  <c r="K17" i="1"/>
  <c r="L17" i="1"/>
  <c r="M17" i="1"/>
  <c r="P17" i="1"/>
  <c r="Q17" i="1"/>
  <c r="R17" i="1"/>
  <c r="D18" i="1"/>
  <c r="G18" i="1"/>
  <c r="H18" i="1"/>
  <c r="A17" i="1"/>
  <c r="C17" i="1"/>
  <c r="F17" i="1"/>
  <c r="B18" i="1"/>
  <c r="J18" i="1"/>
  <c r="S17" i="1"/>
  <c r="E18" i="1"/>
  <c r="K18" i="1"/>
  <c r="L18" i="1"/>
  <c r="M18" i="1"/>
  <c r="P18" i="1"/>
  <c r="Q18" i="1"/>
  <c r="R18" i="1"/>
  <c r="D19" i="1"/>
  <c r="G19" i="1"/>
  <c r="H19" i="1"/>
  <c r="A18" i="1"/>
  <c r="C18" i="1"/>
  <c r="F18" i="1"/>
  <c r="B19" i="1"/>
  <c r="J19" i="1"/>
  <c r="S18" i="1"/>
  <c r="E19" i="1"/>
  <c r="K19" i="1"/>
  <c r="L19" i="1"/>
  <c r="M19" i="1"/>
  <c r="P19" i="1"/>
  <c r="Q19" i="1"/>
  <c r="R19" i="1"/>
  <c r="D20" i="1"/>
  <c r="G20" i="1"/>
  <c r="H20" i="1"/>
  <c r="A19" i="1"/>
  <c r="C19" i="1"/>
  <c r="F19" i="1"/>
  <c r="B20" i="1"/>
  <c r="J20" i="1"/>
  <c r="S19" i="1"/>
  <c r="E20" i="1"/>
  <c r="K20" i="1"/>
  <c r="L20" i="1"/>
  <c r="M20" i="1"/>
  <c r="P20" i="1"/>
  <c r="Q20" i="1"/>
  <c r="R20" i="1"/>
  <c r="D21" i="1"/>
  <c r="G21" i="1"/>
  <c r="H21" i="1"/>
  <c r="A20" i="1"/>
  <c r="C20" i="1"/>
  <c r="F20" i="1"/>
  <c r="B21" i="1"/>
  <c r="J21" i="1"/>
  <c r="S20" i="1"/>
  <c r="E21" i="1"/>
  <c r="K21" i="1"/>
  <c r="L21" i="1"/>
  <c r="M21" i="1"/>
  <c r="P21" i="1"/>
  <c r="Q21" i="1"/>
  <c r="R21" i="1"/>
  <c r="D22" i="1"/>
  <c r="G22" i="1"/>
  <c r="H22" i="1"/>
  <c r="A21" i="1"/>
  <c r="C21" i="1"/>
  <c r="F21" i="1"/>
  <c r="B22" i="1"/>
  <c r="J22" i="1"/>
  <c r="S21" i="1"/>
  <c r="E22" i="1"/>
  <c r="K22" i="1"/>
  <c r="L22" i="1"/>
  <c r="M22" i="1"/>
  <c r="P22" i="1"/>
  <c r="Q22" i="1"/>
  <c r="R22" i="1"/>
  <c r="D23" i="1"/>
  <c r="G23" i="1"/>
  <c r="H23" i="1"/>
  <c r="A22" i="1"/>
  <c r="C22" i="1"/>
  <c r="F22" i="1"/>
  <c r="B23" i="1"/>
  <c r="J23" i="1"/>
  <c r="S22" i="1"/>
  <c r="E23" i="1"/>
  <c r="K23" i="1"/>
  <c r="L23" i="1"/>
  <c r="M23" i="1"/>
  <c r="P23" i="1"/>
  <c r="Q23" i="1"/>
  <c r="R23" i="1"/>
  <c r="D24" i="1"/>
  <c r="G24" i="1"/>
  <c r="H24" i="1"/>
  <c r="A23" i="1"/>
  <c r="C23" i="1"/>
  <c r="F23" i="1"/>
  <c r="B24" i="1"/>
  <c r="J24" i="1"/>
  <c r="S23" i="1"/>
  <c r="E24" i="1"/>
  <c r="K24" i="1"/>
  <c r="L24" i="1"/>
  <c r="M24" i="1"/>
  <c r="P24" i="1"/>
  <c r="Q24" i="1"/>
  <c r="R24" i="1"/>
  <c r="D25" i="1"/>
  <c r="G25" i="1"/>
  <c r="H25" i="1"/>
  <c r="A24" i="1"/>
  <c r="C24" i="1"/>
  <c r="F24" i="1"/>
  <c r="B25" i="1"/>
  <c r="J25" i="1"/>
  <c r="S24" i="1"/>
  <c r="E25" i="1"/>
  <c r="K25" i="1"/>
  <c r="L25" i="1"/>
  <c r="M25" i="1"/>
  <c r="P25" i="1"/>
  <c r="Q25" i="1"/>
  <c r="R25" i="1"/>
  <c r="D26" i="1"/>
  <c r="G26" i="1"/>
  <c r="H26" i="1"/>
  <c r="A25" i="1"/>
  <c r="C25" i="1"/>
  <c r="F25" i="1"/>
  <c r="B26" i="1"/>
  <c r="J26" i="1"/>
  <c r="S25" i="1"/>
  <c r="E26" i="1"/>
  <c r="K26" i="1"/>
  <c r="L26" i="1"/>
  <c r="M26" i="1"/>
  <c r="P26" i="1"/>
  <c r="Q26" i="1"/>
  <c r="R26" i="1"/>
  <c r="D27" i="1"/>
  <c r="G27" i="1"/>
  <c r="H27" i="1"/>
  <c r="A26" i="1"/>
  <c r="C26" i="1"/>
  <c r="F26" i="1"/>
  <c r="B27" i="1"/>
  <c r="J27" i="1"/>
  <c r="S26" i="1"/>
  <c r="E27" i="1"/>
  <c r="K27" i="1"/>
  <c r="L27" i="1"/>
  <c r="M27" i="1"/>
  <c r="P27" i="1"/>
  <c r="Q27" i="1"/>
  <c r="R27" i="1"/>
  <c r="D28" i="1"/>
  <c r="G28" i="1"/>
  <c r="H28" i="1"/>
  <c r="A27" i="1"/>
  <c r="C27" i="1"/>
  <c r="F27" i="1"/>
  <c r="B28" i="1"/>
  <c r="J28" i="1"/>
  <c r="S27" i="1"/>
  <c r="E28" i="1"/>
  <c r="K28" i="1"/>
  <c r="L28" i="1"/>
  <c r="M28" i="1"/>
  <c r="P28" i="1"/>
  <c r="Q28" i="1"/>
  <c r="R28" i="1"/>
  <c r="D29" i="1"/>
  <c r="G29" i="1"/>
  <c r="H29" i="1"/>
  <c r="A28" i="1"/>
  <c r="C28" i="1"/>
  <c r="F28" i="1"/>
  <c r="B29" i="1"/>
  <c r="J29" i="1"/>
  <c r="S28" i="1"/>
  <c r="E29" i="1"/>
  <c r="K29" i="1"/>
  <c r="L29" i="1"/>
  <c r="M29" i="1"/>
  <c r="P29" i="1"/>
  <c r="Q29" i="1"/>
  <c r="R29" i="1"/>
  <c r="D30" i="1"/>
  <c r="G30" i="1"/>
  <c r="H30" i="1"/>
  <c r="A29" i="1"/>
  <c r="C29" i="1"/>
  <c r="F29" i="1"/>
  <c r="B30" i="1"/>
  <c r="J30" i="1"/>
  <c r="S29" i="1"/>
  <c r="E30" i="1"/>
  <c r="K30" i="1"/>
  <c r="L30" i="1"/>
  <c r="M30" i="1"/>
  <c r="P30" i="1"/>
  <c r="Q30" i="1"/>
  <c r="R30" i="1"/>
  <c r="D31" i="1"/>
  <c r="G31" i="1"/>
  <c r="H31" i="1"/>
  <c r="A30" i="1"/>
  <c r="C30" i="1"/>
  <c r="F30" i="1"/>
  <c r="B31" i="1"/>
  <c r="J31" i="1"/>
  <c r="S30" i="1"/>
  <c r="E31" i="1"/>
  <c r="K31" i="1"/>
  <c r="L31" i="1"/>
  <c r="M31" i="1"/>
  <c r="P31" i="1"/>
  <c r="Q31" i="1"/>
  <c r="R31" i="1"/>
  <c r="D32" i="1"/>
  <c r="G32" i="1"/>
  <c r="H32" i="1"/>
  <c r="A31" i="1"/>
  <c r="C31" i="1"/>
  <c r="F31" i="1"/>
  <c r="B32" i="1"/>
  <c r="J32" i="1"/>
  <c r="S31" i="1"/>
  <c r="E32" i="1"/>
  <c r="K32" i="1"/>
  <c r="L32" i="1"/>
  <c r="M32" i="1"/>
  <c r="P32" i="1"/>
  <c r="Q32" i="1"/>
  <c r="R32" i="1"/>
  <c r="D33" i="1"/>
  <c r="G33" i="1"/>
  <c r="H33" i="1"/>
  <c r="A32" i="1"/>
  <c r="C32" i="1"/>
  <c r="F32" i="1"/>
  <c r="B33" i="1"/>
  <c r="J33" i="1"/>
  <c r="S32" i="1"/>
  <c r="E33" i="1"/>
  <c r="K33" i="1"/>
  <c r="L33" i="1"/>
  <c r="M33" i="1"/>
  <c r="P33" i="1"/>
  <c r="Q33" i="1"/>
  <c r="R33" i="1"/>
  <c r="D34" i="1"/>
  <c r="G34" i="1"/>
  <c r="H34" i="1"/>
  <c r="A33" i="1"/>
  <c r="C33" i="1"/>
  <c r="F33" i="1"/>
  <c r="B34" i="1"/>
  <c r="J34" i="1"/>
  <c r="S33" i="1"/>
  <c r="E34" i="1"/>
  <c r="K34" i="1"/>
  <c r="L34" i="1"/>
  <c r="M34" i="1"/>
  <c r="P34" i="1"/>
  <c r="Q34" i="1"/>
  <c r="R34" i="1"/>
  <c r="D35" i="1"/>
  <c r="G35" i="1"/>
  <c r="H35" i="1"/>
  <c r="A34" i="1"/>
  <c r="C34" i="1"/>
  <c r="F34" i="1"/>
  <c r="B35" i="1"/>
  <c r="J35" i="1"/>
  <c r="S34" i="1"/>
  <c r="E35" i="1"/>
  <c r="K35" i="1"/>
  <c r="L35" i="1"/>
  <c r="M35" i="1"/>
  <c r="P35" i="1"/>
  <c r="Q35" i="1"/>
  <c r="R35" i="1"/>
  <c r="D36" i="1"/>
  <c r="G36" i="1"/>
  <c r="H36" i="1"/>
  <c r="A35" i="1"/>
  <c r="C35" i="1"/>
  <c r="F35" i="1"/>
  <c r="B36" i="1"/>
  <c r="J36" i="1"/>
  <c r="S35" i="1"/>
  <c r="E36" i="1"/>
  <c r="K36" i="1"/>
  <c r="L36" i="1"/>
  <c r="M36" i="1"/>
  <c r="P36" i="1"/>
  <c r="Q36" i="1"/>
  <c r="R36" i="1"/>
  <c r="D37" i="1"/>
  <c r="G37" i="1"/>
  <c r="H37" i="1"/>
  <c r="A36" i="1"/>
  <c r="C36" i="1"/>
  <c r="F36" i="1"/>
  <c r="B37" i="1"/>
  <c r="J37" i="1"/>
  <c r="S36" i="1"/>
  <c r="E37" i="1"/>
  <c r="K37" i="1"/>
  <c r="L37" i="1"/>
  <c r="M37" i="1"/>
  <c r="P37" i="1"/>
  <c r="Q37" i="1"/>
  <c r="R37" i="1"/>
  <c r="D38" i="1"/>
  <c r="G38" i="1"/>
  <c r="H38" i="1"/>
  <c r="A37" i="1"/>
  <c r="C37" i="1"/>
  <c r="F37" i="1"/>
  <c r="B38" i="1"/>
  <c r="J38" i="1"/>
  <c r="S37" i="1"/>
  <c r="E38" i="1"/>
  <c r="K38" i="1"/>
  <c r="L38" i="1"/>
  <c r="M38" i="1"/>
  <c r="P38" i="1"/>
  <c r="Q38" i="1"/>
  <c r="R38" i="1"/>
  <c r="D39" i="1"/>
  <c r="G39" i="1"/>
  <c r="H39" i="1"/>
  <c r="A38" i="1"/>
  <c r="C38" i="1"/>
  <c r="F38" i="1"/>
  <c r="B39" i="1"/>
  <c r="J39" i="1"/>
  <c r="S38" i="1"/>
  <c r="E39" i="1"/>
  <c r="K39" i="1"/>
  <c r="L39" i="1"/>
  <c r="M39" i="1"/>
  <c r="P39" i="1"/>
  <c r="Q39" i="1"/>
  <c r="R39" i="1"/>
  <c r="D40" i="1"/>
  <c r="G40" i="1"/>
  <c r="H40" i="1"/>
  <c r="A39" i="1"/>
  <c r="C39" i="1"/>
  <c r="F39" i="1"/>
  <c r="B40" i="1"/>
  <c r="J40" i="1"/>
  <c r="S39" i="1"/>
  <c r="E40" i="1"/>
  <c r="K40" i="1"/>
  <c r="L40" i="1"/>
  <c r="M40" i="1"/>
  <c r="P40" i="1"/>
  <c r="Q40" i="1"/>
  <c r="R40" i="1"/>
  <c r="D41" i="1"/>
  <c r="G41" i="1"/>
  <c r="H41" i="1"/>
  <c r="A40" i="1"/>
  <c r="C40" i="1"/>
  <c r="F40" i="1"/>
  <c r="B41" i="1"/>
  <c r="J41" i="1"/>
  <c r="S40" i="1"/>
  <c r="E41" i="1"/>
  <c r="K41" i="1"/>
  <c r="L41" i="1"/>
  <c r="M41" i="1"/>
  <c r="P41" i="1"/>
  <c r="Q41" i="1"/>
  <c r="R41" i="1"/>
  <c r="D42" i="1"/>
  <c r="G42" i="1"/>
  <c r="H42" i="1"/>
  <c r="A41" i="1"/>
  <c r="C41" i="1"/>
  <c r="F41" i="1"/>
  <c r="B42" i="1"/>
  <c r="J42" i="1"/>
  <c r="S41" i="1"/>
  <c r="E42" i="1"/>
  <c r="K42" i="1"/>
  <c r="L42" i="1"/>
  <c r="M42" i="1"/>
  <c r="P42" i="1"/>
  <c r="Q42" i="1"/>
  <c r="R42" i="1"/>
  <c r="D43" i="1"/>
  <c r="G43" i="1"/>
  <c r="H43" i="1"/>
  <c r="A42" i="1"/>
  <c r="C42" i="1"/>
  <c r="F42" i="1"/>
  <c r="B43" i="1"/>
  <c r="J43" i="1"/>
  <c r="S42" i="1"/>
  <c r="E43" i="1"/>
  <c r="K43" i="1"/>
  <c r="L43" i="1"/>
  <c r="M43" i="1"/>
  <c r="P43" i="1"/>
  <c r="Q43" i="1"/>
  <c r="R43" i="1"/>
  <c r="D44" i="1"/>
  <c r="G44" i="1"/>
  <c r="H44" i="1"/>
  <c r="A43" i="1"/>
  <c r="C43" i="1"/>
  <c r="F43" i="1"/>
  <c r="B44" i="1"/>
  <c r="J44" i="1"/>
  <c r="S43" i="1"/>
  <c r="E44" i="1"/>
  <c r="K44" i="1"/>
  <c r="L44" i="1"/>
  <c r="M44" i="1"/>
  <c r="P44" i="1"/>
  <c r="Q44" i="1"/>
  <c r="R44" i="1"/>
  <c r="D45" i="1"/>
  <c r="G45" i="1"/>
  <c r="H45" i="1"/>
  <c r="A44" i="1"/>
  <c r="C44" i="1"/>
  <c r="F44" i="1"/>
  <c r="B45" i="1"/>
  <c r="J45" i="1"/>
  <c r="S44" i="1"/>
  <c r="E45" i="1"/>
  <c r="K45" i="1"/>
  <c r="L45" i="1"/>
  <c r="M45" i="1"/>
  <c r="P45" i="1"/>
  <c r="Q45" i="1"/>
  <c r="R45" i="1"/>
  <c r="D46" i="1"/>
  <c r="G46" i="1"/>
  <c r="H46" i="1"/>
  <c r="A45" i="1"/>
  <c r="C45" i="1"/>
  <c r="F45" i="1"/>
  <c r="B46" i="1"/>
  <c r="J46" i="1"/>
  <c r="S45" i="1"/>
  <c r="E46" i="1"/>
  <c r="K46" i="1"/>
  <c r="L46" i="1"/>
  <c r="M46" i="1"/>
  <c r="P46" i="1"/>
  <c r="Q46" i="1"/>
  <c r="R46" i="1"/>
  <c r="D47" i="1"/>
  <c r="G47" i="1"/>
  <c r="H47" i="1"/>
  <c r="A46" i="1"/>
  <c r="C46" i="1"/>
  <c r="F46" i="1"/>
  <c r="B47" i="1"/>
  <c r="J47" i="1"/>
  <c r="S46" i="1"/>
  <c r="E47" i="1"/>
  <c r="K47" i="1"/>
  <c r="L47" i="1"/>
  <c r="M47" i="1"/>
  <c r="P47" i="1"/>
  <c r="Q47" i="1"/>
  <c r="R47" i="1"/>
  <c r="D48" i="1"/>
  <c r="G48" i="1"/>
  <c r="H48" i="1"/>
  <c r="A47" i="1"/>
  <c r="C47" i="1"/>
  <c r="F47" i="1"/>
  <c r="B48" i="1"/>
  <c r="J48" i="1"/>
  <c r="S47" i="1"/>
  <c r="E48" i="1"/>
  <c r="K48" i="1"/>
  <c r="L48" i="1"/>
  <c r="M48" i="1"/>
  <c r="P48" i="1"/>
  <c r="Q48" i="1"/>
  <c r="R48" i="1"/>
  <c r="D49" i="1"/>
  <c r="G49" i="1"/>
  <c r="H49" i="1"/>
  <c r="A48" i="1"/>
  <c r="C48" i="1"/>
  <c r="F48" i="1"/>
  <c r="B49" i="1"/>
  <c r="J49" i="1"/>
  <c r="S48" i="1"/>
  <c r="E49" i="1"/>
  <c r="K49" i="1"/>
  <c r="L49" i="1"/>
  <c r="M49" i="1"/>
  <c r="P49" i="1"/>
  <c r="Q49" i="1"/>
  <c r="R49" i="1"/>
  <c r="D50" i="1"/>
  <c r="G50" i="1"/>
  <c r="H50" i="1"/>
  <c r="A49" i="1"/>
  <c r="C49" i="1"/>
  <c r="F49" i="1"/>
  <c r="B50" i="1"/>
  <c r="J50" i="1"/>
  <c r="S49" i="1"/>
  <c r="E50" i="1"/>
  <c r="K50" i="1"/>
  <c r="L50" i="1"/>
  <c r="M50" i="1"/>
  <c r="P50" i="1"/>
  <c r="Q50" i="1"/>
  <c r="R50" i="1"/>
  <c r="D51" i="1"/>
  <c r="G51" i="1"/>
  <c r="H51" i="1"/>
  <c r="A50" i="1"/>
  <c r="C50" i="1"/>
  <c r="F50" i="1"/>
  <c r="B51" i="1"/>
  <c r="J51" i="1"/>
  <c r="S50" i="1"/>
  <c r="E51" i="1"/>
  <c r="K51" i="1"/>
  <c r="L51" i="1"/>
  <c r="M51" i="1"/>
  <c r="P51" i="1"/>
  <c r="Q51" i="1"/>
  <c r="R51" i="1"/>
  <c r="D52" i="1"/>
  <c r="G52" i="1"/>
  <c r="H52" i="1"/>
  <c r="A51" i="1"/>
  <c r="C51" i="1"/>
  <c r="F51" i="1"/>
  <c r="B52" i="1"/>
  <c r="J52" i="1"/>
  <c r="S51" i="1"/>
  <c r="E52" i="1"/>
  <c r="K52" i="1"/>
  <c r="L52" i="1"/>
  <c r="M52" i="1"/>
  <c r="P52" i="1"/>
  <c r="Q52" i="1"/>
  <c r="R52" i="1"/>
  <c r="D53" i="1"/>
  <c r="G53" i="1"/>
  <c r="H53" i="1"/>
  <c r="A52" i="1"/>
  <c r="C52" i="1"/>
  <c r="F52" i="1"/>
  <c r="B53" i="1"/>
  <c r="J53" i="1"/>
  <c r="S52" i="1"/>
  <c r="E53" i="1"/>
  <c r="K53" i="1"/>
  <c r="L53" i="1"/>
  <c r="M53" i="1"/>
  <c r="P53" i="1"/>
  <c r="Q53" i="1"/>
  <c r="R53" i="1"/>
  <c r="D54" i="1"/>
  <c r="G54" i="1"/>
  <c r="H54" i="1"/>
  <c r="A53" i="1"/>
  <c r="C53" i="1"/>
  <c r="F53" i="1"/>
  <c r="B54" i="1"/>
  <c r="J54" i="1"/>
  <c r="S53" i="1"/>
  <c r="E54" i="1"/>
  <c r="K54" i="1"/>
  <c r="L54" i="1"/>
  <c r="M54" i="1"/>
  <c r="P54" i="1"/>
  <c r="Q54" i="1"/>
  <c r="R54" i="1"/>
  <c r="D55" i="1"/>
  <c r="G55" i="1"/>
  <c r="H55" i="1"/>
  <c r="A54" i="1"/>
  <c r="C54" i="1"/>
  <c r="F54" i="1"/>
  <c r="B55" i="1"/>
  <c r="J55" i="1"/>
  <c r="S54" i="1"/>
  <c r="E55" i="1"/>
  <c r="K55" i="1"/>
  <c r="L55" i="1"/>
  <c r="M55" i="1"/>
  <c r="P55" i="1"/>
  <c r="Q55" i="1"/>
  <c r="R55" i="1"/>
  <c r="D56" i="1"/>
  <c r="G56" i="1"/>
  <c r="H56" i="1"/>
  <c r="A55" i="1"/>
  <c r="C55" i="1"/>
  <c r="F55" i="1"/>
  <c r="B56" i="1"/>
  <c r="J56" i="1"/>
  <c r="S55" i="1"/>
  <c r="E56" i="1"/>
  <c r="K56" i="1"/>
  <c r="L56" i="1"/>
  <c r="M56" i="1"/>
  <c r="P56" i="1"/>
  <c r="Q56" i="1"/>
  <c r="R56" i="1"/>
  <c r="D57" i="1"/>
  <c r="G57" i="1"/>
  <c r="H57" i="1"/>
  <c r="A56" i="1"/>
  <c r="C56" i="1"/>
  <c r="F56" i="1"/>
  <c r="B57" i="1"/>
  <c r="J57" i="1"/>
  <c r="S56" i="1"/>
  <c r="E57" i="1"/>
  <c r="K57" i="1"/>
  <c r="L57" i="1"/>
  <c r="M57" i="1"/>
  <c r="P57" i="1"/>
  <c r="Q57" i="1"/>
  <c r="R57" i="1"/>
  <c r="D58" i="1"/>
  <c r="G58" i="1"/>
  <c r="H58" i="1"/>
  <c r="A57" i="1"/>
  <c r="C57" i="1"/>
  <c r="F57" i="1"/>
  <c r="B58" i="1"/>
  <c r="J58" i="1"/>
  <c r="S57" i="1"/>
  <c r="E58" i="1"/>
  <c r="K58" i="1"/>
  <c r="L58" i="1"/>
  <c r="M58" i="1"/>
  <c r="P58" i="1"/>
  <c r="Q58" i="1"/>
  <c r="R58" i="1"/>
  <c r="D59" i="1"/>
  <c r="G59" i="1"/>
  <c r="H59" i="1"/>
  <c r="A58" i="1"/>
  <c r="C58" i="1"/>
  <c r="F58" i="1"/>
  <c r="B59" i="1"/>
  <c r="J59" i="1"/>
  <c r="S58" i="1"/>
  <c r="E59" i="1"/>
  <c r="K59" i="1"/>
  <c r="L59" i="1"/>
  <c r="M59" i="1"/>
  <c r="P59" i="1"/>
  <c r="Q59" i="1"/>
  <c r="R59" i="1"/>
  <c r="D60" i="1"/>
  <c r="G60" i="1"/>
  <c r="H60" i="1"/>
  <c r="A59" i="1"/>
  <c r="C59" i="1"/>
  <c r="F59" i="1"/>
  <c r="B60" i="1"/>
  <c r="J60" i="1"/>
  <c r="S59" i="1"/>
  <c r="E60" i="1"/>
  <c r="K60" i="1"/>
  <c r="L60" i="1"/>
  <c r="M60" i="1"/>
  <c r="P60" i="1"/>
  <c r="Q60" i="1"/>
  <c r="R60" i="1"/>
  <c r="D61" i="1"/>
  <c r="G61" i="1"/>
  <c r="H61" i="1"/>
  <c r="A60" i="1"/>
  <c r="C60" i="1"/>
  <c r="F60" i="1"/>
  <c r="B61" i="1"/>
  <c r="J61" i="1"/>
  <c r="S60" i="1"/>
  <c r="E61" i="1"/>
  <c r="K61" i="1"/>
  <c r="L61" i="1"/>
  <c r="M61" i="1"/>
  <c r="P61" i="1"/>
  <c r="Q61" i="1"/>
  <c r="R61" i="1"/>
  <c r="D62" i="1"/>
  <c r="G62" i="1"/>
  <c r="H62" i="1"/>
  <c r="A61" i="1"/>
  <c r="C61" i="1"/>
  <c r="F61" i="1"/>
  <c r="B62" i="1"/>
  <c r="J62" i="1"/>
  <c r="S61" i="1"/>
  <c r="E62" i="1"/>
  <c r="K62" i="1"/>
  <c r="L62" i="1"/>
  <c r="M62" i="1"/>
  <c r="P62" i="1"/>
  <c r="Q62" i="1"/>
  <c r="R62" i="1"/>
  <c r="D63" i="1"/>
  <c r="G63" i="1"/>
  <c r="H63" i="1"/>
  <c r="A62" i="1"/>
  <c r="C62" i="1"/>
  <c r="F62" i="1"/>
  <c r="B63" i="1"/>
  <c r="J63" i="1"/>
  <c r="S62" i="1"/>
  <c r="E63" i="1"/>
  <c r="K63" i="1"/>
  <c r="L63" i="1"/>
  <c r="M63" i="1"/>
  <c r="P63" i="1"/>
  <c r="Q63" i="1"/>
  <c r="R63" i="1"/>
  <c r="D64" i="1"/>
  <c r="G64" i="1"/>
  <c r="H64" i="1"/>
  <c r="A63" i="1"/>
  <c r="C63" i="1"/>
  <c r="F63" i="1"/>
  <c r="B64" i="1"/>
  <c r="J64" i="1"/>
  <c r="S63" i="1"/>
  <c r="E64" i="1"/>
  <c r="K64" i="1"/>
  <c r="L64" i="1"/>
  <c r="M64" i="1"/>
  <c r="P64" i="1"/>
  <c r="Q64" i="1"/>
  <c r="R64" i="1"/>
  <c r="D65" i="1"/>
  <c r="G65" i="1"/>
  <c r="H65" i="1"/>
  <c r="A64" i="1"/>
  <c r="C64" i="1"/>
  <c r="F64" i="1"/>
  <c r="B65" i="1"/>
  <c r="J65" i="1"/>
  <c r="S64" i="1"/>
  <c r="E65" i="1"/>
  <c r="K65" i="1"/>
  <c r="L65" i="1"/>
  <c r="M65" i="1"/>
  <c r="P65" i="1"/>
  <c r="Q65" i="1"/>
  <c r="R65" i="1"/>
  <c r="D66" i="1"/>
  <c r="G66" i="1"/>
  <c r="H66" i="1"/>
  <c r="A65" i="1"/>
  <c r="C65" i="1"/>
  <c r="F65" i="1"/>
  <c r="B66" i="1"/>
  <c r="J66" i="1"/>
  <c r="S65" i="1"/>
  <c r="E66" i="1"/>
  <c r="K66" i="1"/>
  <c r="L66" i="1"/>
  <c r="M66" i="1"/>
  <c r="P66" i="1"/>
  <c r="Q66" i="1"/>
  <c r="R66" i="1"/>
  <c r="D67" i="1"/>
  <c r="G67" i="1"/>
  <c r="H67" i="1"/>
  <c r="A66" i="1"/>
  <c r="C66" i="1"/>
  <c r="F66" i="1"/>
  <c r="B67" i="1"/>
  <c r="J67" i="1"/>
  <c r="S66" i="1"/>
  <c r="E67" i="1"/>
  <c r="K67" i="1"/>
  <c r="L67" i="1"/>
  <c r="M67" i="1"/>
  <c r="P67" i="1"/>
  <c r="Q67" i="1"/>
  <c r="R67" i="1"/>
  <c r="D68" i="1"/>
  <c r="G68" i="1"/>
  <c r="H68" i="1"/>
  <c r="A67" i="1"/>
  <c r="C67" i="1"/>
  <c r="F67" i="1"/>
  <c r="B68" i="1"/>
  <c r="J68" i="1"/>
  <c r="S67" i="1"/>
  <c r="E68" i="1"/>
  <c r="K68" i="1"/>
  <c r="L68" i="1"/>
  <c r="M68" i="1"/>
  <c r="P68" i="1"/>
  <c r="Q68" i="1"/>
  <c r="R68" i="1"/>
  <c r="D69" i="1"/>
  <c r="G69" i="1"/>
  <c r="H69" i="1"/>
  <c r="A68" i="1"/>
  <c r="C68" i="1"/>
  <c r="F68" i="1"/>
  <c r="B69" i="1"/>
  <c r="J69" i="1"/>
  <c r="S68" i="1"/>
  <c r="E69" i="1"/>
  <c r="K69" i="1"/>
  <c r="L69" i="1"/>
  <c r="M69" i="1"/>
  <c r="P69" i="1"/>
  <c r="Q69" i="1"/>
  <c r="R69" i="1"/>
  <c r="D70" i="1"/>
  <c r="G70" i="1"/>
  <c r="H70" i="1"/>
  <c r="A69" i="1"/>
  <c r="C69" i="1"/>
  <c r="F69" i="1"/>
  <c r="B70" i="1"/>
  <c r="J70" i="1"/>
  <c r="S69" i="1"/>
  <c r="E70" i="1"/>
  <c r="K70" i="1"/>
  <c r="L70" i="1"/>
  <c r="M70" i="1"/>
  <c r="P70" i="1"/>
  <c r="Q70" i="1"/>
  <c r="R70" i="1"/>
  <c r="D71" i="1"/>
  <c r="G71" i="1"/>
  <c r="H71" i="1"/>
  <c r="A70" i="1"/>
  <c r="C70" i="1"/>
  <c r="F70" i="1"/>
  <c r="B71" i="1"/>
  <c r="J71" i="1"/>
  <c r="S70" i="1"/>
  <c r="E71" i="1"/>
  <c r="K71" i="1"/>
  <c r="L71" i="1"/>
  <c r="M71" i="1"/>
  <c r="P71" i="1"/>
  <c r="Q71" i="1"/>
  <c r="R71" i="1"/>
  <c r="D72" i="1"/>
  <c r="G72" i="1"/>
  <c r="H72" i="1"/>
  <c r="A71" i="1"/>
  <c r="C71" i="1"/>
  <c r="F71" i="1"/>
  <c r="B72" i="1"/>
  <c r="J72" i="1"/>
  <c r="S71" i="1"/>
  <c r="E72" i="1"/>
  <c r="K72" i="1"/>
  <c r="L72" i="1"/>
  <c r="M72" i="1"/>
  <c r="P72" i="1"/>
  <c r="Q72" i="1"/>
  <c r="R72" i="1"/>
  <c r="D73" i="1"/>
  <c r="G73" i="1"/>
  <c r="H73" i="1"/>
  <c r="A72" i="1"/>
  <c r="C72" i="1"/>
  <c r="F72" i="1"/>
  <c r="B73" i="1"/>
  <c r="J73" i="1"/>
  <c r="S72" i="1"/>
  <c r="E73" i="1"/>
  <c r="K73" i="1"/>
  <c r="P73" i="1"/>
  <c r="L73" i="1"/>
  <c r="M73" i="1"/>
  <c r="Q73" i="1"/>
  <c r="G9" i="1"/>
  <c r="H9" i="1"/>
  <c r="A73" i="1"/>
  <c r="R73" i="1"/>
  <c r="O73" i="1"/>
  <c r="N73" i="1"/>
  <c r="O72" i="1"/>
  <c r="N72" i="1"/>
  <c r="O71" i="1"/>
  <c r="N71" i="1"/>
  <c r="O70" i="1"/>
  <c r="N70" i="1"/>
  <c r="O69" i="1"/>
  <c r="N69" i="1"/>
  <c r="O68" i="1"/>
  <c r="N68" i="1"/>
  <c r="O67" i="1"/>
  <c r="N67" i="1"/>
  <c r="O66" i="1"/>
  <c r="N66" i="1"/>
  <c r="O65" i="1"/>
  <c r="N65" i="1"/>
  <c r="O64" i="1"/>
  <c r="N64" i="1"/>
  <c r="O63" i="1"/>
  <c r="N63" i="1"/>
  <c r="O62" i="1"/>
  <c r="N62" i="1"/>
  <c r="O61" i="1"/>
  <c r="N61" i="1"/>
  <c r="O60" i="1"/>
  <c r="N60" i="1"/>
  <c r="O59" i="1"/>
  <c r="N59" i="1"/>
  <c r="O58" i="1"/>
  <c r="N58" i="1"/>
  <c r="O57" i="1"/>
  <c r="N57" i="1"/>
  <c r="O56" i="1"/>
  <c r="N56" i="1"/>
  <c r="O55" i="1"/>
  <c r="N55" i="1"/>
  <c r="O54" i="1"/>
  <c r="N54" i="1"/>
  <c r="O53" i="1"/>
  <c r="N53" i="1"/>
  <c r="O52" i="1"/>
  <c r="N52" i="1"/>
  <c r="O51" i="1"/>
  <c r="N51" i="1"/>
  <c r="O50" i="1"/>
  <c r="N50" i="1"/>
  <c r="O49" i="1"/>
  <c r="N49" i="1"/>
  <c r="O48" i="1"/>
  <c r="N48" i="1"/>
  <c r="O47" i="1"/>
  <c r="N47" i="1"/>
  <c r="O46" i="1"/>
  <c r="N46" i="1"/>
  <c r="O45" i="1"/>
  <c r="N45" i="1"/>
  <c r="O44" i="1"/>
  <c r="N44" i="1"/>
  <c r="O43" i="1"/>
  <c r="N43" i="1"/>
  <c r="O42" i="1"/>
  <c r="N42" i="1"/>
  <c r="O41" i="1"/>
  <c r="N41" i="1"/>
  <c r="O40" i="1"/>
  <c r="N40" i="1"/>
  <c r="O39" i="1"/>
  <c r="N39" i="1"/>
  <c r="O38" i="1"/>
  <c r="N38" i="1"/>
  <c r="O37" i="1"/>
  <c r="N37" i="1"/>
  <c r="O36" i="1"/>
  <c r="N36" i="1"/>
  <c r="O35" i="1"/>
  <c r="N35" i="1"/>
  <c r="O34" i="1"/>
  <c r="N34" i="1"/>
  <c r="O33" i="1"/>
  <c r="N33" i="1"/>
  <c r="O32" i="1"/>
  <c r="N32" i="1"/>
  <c r="O31" i="1"/>
  <c r="N31" i="1"/>
  <c r="O30" i="1"/>
  <c r="N30" i="1"/>
  <c r="O29" i="1"/>
  <c r="N29" i="1"/>
  <c r="O28" i="1"/>
  <c r="N28" i="1"/>
  <c r="O27" i="1"/>
  <c r="N27" i="1"/>
  <c r="O26" i="1"/>
  <c r="N26" i="1"/>
  <c r="O25" i="1"/>
  <c r="N25" i="1"/>
  <c r="O24" i="1"/>
  <c r="N24" i="1"/>
  <c r="O23" i="1"/>
  <c r="N23" i="1"/>
  <c r="O22" i="1"/>
  <c r="N22" i="1"/>
  <c r="O21" i="1"/>
  <c r="N21" i="1"/>
  <c r="O20" i="1"/>
  <c r="N20" i="1"/>
  <c r="O19" i="1"/>
  <c r="N19" i="1"/>
  <c r="O18" i="1"/>
  <c r="N18" i="1"/>
  <c r="O17" i="1"/>
  <c r="N17" i="1"/>
  <c r="O16" i="1"/>
  <c r="N16" i="1"/>
  <c r="O15" i="1"/>
  <c r="N15" i="1"/>
  <c r="O14" i="1"/>
  <c r="N14" i="1"/>
  <c r="O13" i="1"/>
  <c r="N13" i="1"/>
  <c r="O12" i="1"/>
  <c r="N12" i="1"/>
  <c r="O11" i="1"/>
  <c r="N11" i="1"/>
  <c r="O10" i="1"/>
  <c r="N10" i="1"/>
  <c r="S73" i="1"/>
  <c r="O9" i="1"/>
  <c r="N9" i="1"/>
  <c r="O3" i="1"/>
  <c r="N3" i="1"/>
  <c r="P3" i="1"/>
  <c r="S3" i="1"/>
  <c r="S1" i="1"/>
  <c r="S2" i="1"/>
  <c r="E9" i="1"/>
  <c r="C73" i="1"/>
  <c r="F73" i="1"/>
  <c r="A27" i="2"/>
  <c r="C26" i="2"/>
  <c r="A26" i="2"/>
  <c r="C25" i="2"/>
  <c r="A25" i="2"/>
  <c r="C24" i="2"/>
  <c r="A24" i="2"/>
  <c r="C23" i="2"/>
  <c r="A23" i="2"/>
  <c r="C22" i="2"/>
  <c r="A11" i="2"/>
  <c r="A12" i="2"/>
  <c r="A13" i="2"/>
  <c r="A14" i="2"/>
  <c r="A15" i="2"/>
  <c r="A16" i="2"/>
  <c r="A17" i="2"/>
  <c r="A18" i="2"/>
  <c r="A19" i="2"/>
  <c r="A20" i="2"/>
  <c r="A21" i="2"/>
  <c r="A22" i="2"/>
  <c r="C21" i="2"/>
  <c r="C20" i="2"/>
  <c r="C19" i="2"/>
  <c r="C18" i="2"/>
  <c r="C17" i="2"/>
  <c r="C16" i="2"/>
  <c r="C15" i="2"/>
  <c r="C14" i="2"/>
  <c r="C13" i="2"/>
  <c r="C12" i="2"/>
  <c r="C11" i="2"/>
  <c r="C10" i="2"/>
  <c r="A10" i="2"/>
  <c r="C9" i="2"/>
  <c r="A9" i="2"/>
  <c r="C8" i="2"/>
  <c r="C7" i="2"/>
  <c r="C6" i="2"/>
  <c r="C5" i="2"/>
  <c r="C4" i="2"/>
  <c r="C3" i="2"/>
  <c r="C2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<sst xmlns="http://schemas.openxmlformats.org/spreadsheetml/2006/main" count="50" uniqueCount="48">
  <si>
    <t>ETP2 Reference Model</t>
  </si>
  <si>
    <t>Time</t>
  </si>
  <si>
    <t>Temperatures</t>
  </si>
  <si>
    <t>Thermal properties</t>
  </si>
  <si>
    <t>UA</t>
  </si>
  <si>
    <t>HM</t>
  </si>
  <si>
    <t>TA</t>
  </si>
  <si>
    <t>TM</t>
  </si>
  <si>
    <t>TO</t>
  </si>
  <si>
    <t>TI</t>
  </si>
  <si>
    <t>CA</t>
  </si>
  <si>
    <t>CM</t>
  </si>
  <si>
    <t>HVAC Properties</t>
  </si>
  <si>
    <t>QH</t>
  </si>
  <si>
    <t>TS</t>
  </si>
  <si>
    <t>TH</t>
  </si>
  <si>
    <t>TC</t>
  </si>
  <si>
    <t>DB</t>
  </si>
  <si>
    <t>a</t>
  </si>
  <si>
    <t>b</t>
  </si>
  <si>
    <t>c</t>
  </si>
  <si>
    <t>Mode</t>
  </si>
  <si>
    <t>HVAC</t>
  </si>
  <si>
    <t>Solution parameters</t>
  </si>
  <si>
    <t>Solution variables</t>
  </si>
  <si>
    <t>dTO</t>
  </si>
  <si>
    <t>QA</t>
  </si>
  <si>
    <t>QM</t>
  </si>
  <si>
    <t>GridLAB-D</t>
  </si>
  <si>
    <t>Module</t>
  </si>
  <si>
    <t>Class</t>
  </si>
  <si>
    <t>house_e</t>
  </si>
  <si>
    <t>residential</t>
  </si>
  <si>
    <t>3.0.0</t>
  </si>
  <si>
    <t>Build</t>
  </si>
  <si>
    <t>TN</t>
  </si>
  <si>
    <t>dTA(0)</t>
  </si>
  <si>
    <t>p=</t>
  </si>
  <si>
    <t>q=</t>
  </si>
  <si>
    <t>rb2_4ac=</t>
  </si>
  <si>
    <t>A1</t>
  </si>
  <si>
    <t>A2</t>
  </si>
  <si>
    <t>A3</t>
  </si>
  <si>
    <t>A4</t>
  </si>
  <si>
    <t>d</t>
  </si>
  <si>
    <t>TM(Dt)</t>
  </si>
  <si>
    <t>TA(Dt)</t>
  </si>
  <si>
    <t>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</si>
</sst>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b/>
      <sz val="12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7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0" applyFont="1"/>
    <xf numFmtId="164" fontId="4" fillId="2" borderId="5" xfId="0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164" fontId="4" fillId="2" borderId="6" xfId="0" applyNumberFormat="1" applyFont="1" applyFill="1" applyBorder="1" applyAlignment="1">
      <alignment horizontal="center"/>
    </xf>
    <xf numFmtId="164" fontId="4" fillId="2" borderId="7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22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right"/>
    </xf>
    <xf numFmtId="165" fontId="4" fillId="0" borderId="0" xfId="0" applyNumberFormat="1" applyFont="1"/>
    <xf numFmtId="1" fontId="4" fillId="0" borderId="0" xfId="0" applyNumberFormat="1" applyFont="1"/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4" fillId="0" borderId="0" xfId="0" applyNumberFormat="1" applyFont="1"/>
    <xf numFmtId="0" fontId="5" fillId="0" borderId="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</cellXfs>
  <cellStyles count="7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House!$B$8</c:f>
              <c:strCache>
                <c:ptCount val="1"/>
                <c:pt idx="0">
                  <c:v>TO</c:v>
                </c:pt>
              </c:strCache>
            </c:strRef>
          </c:tx>
          <c:marker>
            <c:symbol val="none"/>
          </c:marker>
          <c:xVal>
            <c:numRef>
              <c:f>House!$A$9:$A$73</c:f>
              <c:numCache>
                <c:formatCode>m/d/yy\ h:mm</c:formatCode>
                <c:ptCount val="65"/>
                <c:pt idx="0">
                  <c:v>36526.0</c:v>
                </c:pt>
                <c:pt idx="1">
                  <c:v>36526.03714646378</c:v>
                </c:pt>
                <c:pt idx="2">
                  <c:v>36526.03943396408</c:v>
                </c:pt>
                <c:pt idx="3">
                  <c:v>36526.04641375748</c:v>
                </c:pt>
                <c:pt idx="4">
                  <c:v>36526.04887611957</c:v>
                </c:pt>
                <c:pt idx="5">
                  <c:v>36526.05479361966</c:v>
                </c:pt>
                <c:pt idx="6">
                  <c:v>36526.05737289823</c:v>
                </c:pt>
                <c:pt idx="7">
                  <c:v>36526.06278009873</c:v>
                </c:pt>
                <c:pt idx="8">
                  <c:v>36526.06544420173</c:v>
                </c:pt>
                <c:pt idx="9">
                  <c:v>36526.07054773875</c:v>
                </c:pt>
                <c:pt idx="10">
                  <c:v>36526.07327672227</c:v>
                </c:pt>
                <c:pt idx="11">
                  <c:v>36526.0781763601</c:v>
                </c:pt>
                <c:pt idx="12">
                  <c:v>36526.08095736591</c:v>
                </c:pt>
                <c:pt idx="13">
                  <c:v>36526.08570779786</c:v>
                </c:pt>
                <c:pt idx="14">
                  <c:v>36526.0885324409</c:v>
                </c:pt>
                <c:pt idx="15">
                  <c:v>36526.09316605185</c:v>
                </c:pt>
                <c:pt idx="16">
                  <c:v>36526.0960288654</c:v>
                </c:pt>
                <c:pt idx="17">
                  <c:v>36526.10056589603</c:v>
                </c:pt>
                <c:pt idx="18">
                  <c:v>36526.10346334713</c:v>
                </c:pt>
                <c:pt idx="19">
                  <c:v>36526.10791701257</c:v>
                </c:pt>
                <c:pt idx="20">
                  <c:v>36526.1108468615</c:v>
                </c:pt>
                <c:pt idx="21">
                  <c:v>36526.11522614048</c:v>
                </c:pt>
                <c:pt idx="22">
                  <c:v>36526.11818701826</c:v>
                </c:pt>
                <c:pt idx="23">
                  <c:v>36526.1224982569</c:v>
                </c:pt>
                <c:pt idx="24">
                  <c:v>36526.1254893848</c:v>
                </c:pt>
                <c:pt idx="25">
                  <c:v>36526.12973725325</c:v>
                </c:pt>
                <c:pt idx="26">
                  <c:v>36526.13275825595</c:v>
                </c:pt>
                <c:pt idx="27">
                  <c:v>36526.1369463343</c:v>
                </c:pt>
                <c:pt idx="28">
                  <c:v>36526.13999711486</c:v>
                </c:pt>
                <c:pt idx="29">
                  <c:v>36526.14412825909</c:v>
                </c:pt>
                <c:pt idx="30">
                  <c:v>36526.14720891533</c:v>
                </c:pt>
                <c:pt idx="31">
                  <c:v>36526.1512854894</c:v>
                </c:pt>
                <c:pt idx="32">
                  <c:v>36526.15439625785</c:v>
                </c:pt>
                <c:pt idx="33">
                  <c:v>36526.15842028285</c:v>
                </c:pt>
                <c:pt idx="34">
                  <c:v>36526.16156150118</c:v>
                </c:pt>
                <c:pt idx="35">
                  <c:v>36526.16553475236</c:v>
                </c:pt>
                <c:pt idx="36">
                  <c:v>36526.16870683425</c:v>
                </c:pt>
                <c:pt idx="37">
                  <c:v>36526.17263090504</c:v>
                </c:pt>
                <c:pt idx="38">
                  <c:v>36526.17582510161</c:v>
                </c:pt>
                <c:pt idx="39">
                  <c:v>36526.17972639365</c:v>
                </c:pt>
                <c:pt idx="40">
                  <c:v>36526.18293571639</c:v>
                </c:pt>
                <c:pt idx="41">
                  <c:v>36526.18681417625</c:v>
                </c:pt>
                <c:pt idx="42">
                  <c:v>36526.19003895495</c:v>
                </c:pt>
                <c:pt idx="43">
                  <c:v>36526.19389464487</c:v>
                </c:pt>
                <c:pt idx="44">
                  <c:v>36526.19713515447</c:v>
                </c:pt>
                <c:pt idx="45">
                  <c:v>36526.20096821194</c:v>
                </c:pt>
                <c:pt idx="46">
                  <c:v>36526.20422469081</c:v>
                </c:pt>
                <c:pt idx="47">
                  <c:v>36526.20803530153</c:v>
                </c:pt>
                <c:pt idx="48">
                  <c:v>36526.21130796398</c:v>
                </c:pt>
                <c:pt idx="49">
                  <c:v>36526.21509634386</c:v>
                </c:pt>
                <c:pt idx="50">
                  <c:v>36526.21838538871</c:v>
                </c:pt>
                <c:pt idx="51">
                  <c:v>36526.22215177182</c:v>
                </c:pt>
                <c:pt idx="52">
                  <c:v>36526.22545738833</c:v>
                </c:pt>
                <c:pt idx="53">
                  <c:v>36526.22920201888</c:v>
                </c:pt>
                <c:pt idx="54">
                  <c:v>36526.23252439082</c:v>
                </c:pt>
                <c:pt idx="55">
                  <c:v>36526.23624751787</c:v>
                </c:pt>
                <c:pt idx="56">
                  <c:v>36526.23958682633</c:v>
                </c:pt>
                <c:pt idx="57">
                  <c:v>36526.24328870028</c:v>
                </c:pt>
                <c:pt idx="58">
                  <c:v>36526.24664512566</c:v>
                </c:pt>
                <c:pt idx="59">
                  <c:v>36526.25032599594</c:v>
                </c:pt>
                <c:pt idx="60">
                  <c:v>36526.25369971934</c:v>
                </c:pt>
                <c:pt idx="61">
                  <c:v>36526.2573703184</c:v>
                </c:pt>
                <c:pt idx="62">
                  <c:v>36526.26074308572</c:v>
                </c:pt>
                <c:pt idx="63">
                  <c:v>36526.26441462522</c:v>
                </c:pt>
                <c:pt idx="64">
                  <c:v>36526.26778673911</c:v>
                </c:pt>
              </c:numCache>
            </c:numRef>
          </c:xVal>
          <c:yVal>
            <c:numRef>
              <c:f>House!$B$9:$B$73</c:f>
              <c:numCache>
                <c:formatCode>0.0</c:formatCode>
                <c:ptCount val="65"/>
                <c:pt idx="0">
                  <c:v>50.0</c:v>
                </c:pt>
                <c:pt idx="1">
                  <c:v>48.21696973854653</c:v>
                </c:pt>
                <c:pt idx="2">
                  <c:v>48.10716972409427</c:v>
                </c:pt>
                <c:pt idx="3">
                  <c:v>47.7721396406165</c:v>
                </c:pt>
                <c:pt idx="4">
                  <c:v>47.65394626020099</c:v>
                </c:pt>
                <c:pt idx="5">
                  <c:v>47.36990625600597</c:v>
                </c:pt>
                <c:pt idx="6">
                  <c:v>47.24610088445677</c:v>
                </c:pt>
                <c:pt idx="7">
                  <c:v>46.986555260332</c:v>
                </c:pt>
                <c:pt idx="8">
                  <c:v>46.8586783164353</c:v>
                </c:pt>
                <c:pt idx="9">
                  <c:v>46.61370853940754</c:v>
                </c:pt>
                <c:pt idx="10">
                  <c:v>46.48271733055878</c:v>
                </c:pt>
                <c:pt idx="11">
                  <c:v>46.24753471514142</c:v>
                </c:pt>
                <c:pt idx="12">
                  <c:v>46.11404643604161</c:v>
                </c:pt>
                <c:pt idx="13">
                  <c:v>45.88602570282773</c:v>
                </c:pt>
                <c:pt idx="14">
                  <c:v>45.75044283583703</c:v>
                </c:pt>
                <c:pt idx="15">
                  <c:v>45.52802951099523</c:v>
                </c:pt>
                <c:pt idx="16">
                  <c:v>45.3906144608497</c:v>
                </c:pt>
                <c:pt idx="17">
                  <c:v>45.17283699036688</c:v>
                </c:pt>
                <c:pt idx="18">
                  <c:v>45.0337593380082</c:v>
                </c:pt>
                <c:pt idx="19">
                  <c:v>44.81998339676707</c:v>
                </c:pt>
                <c:pt idx="20">
                  <c:v>44.67935064832145</c:v>
                </c:pt>
                <c:pt idx="21">
                  <c:v>44.46914525697241</c:v>
                </c:pt>
                <c:pt idx="22">
                  <c:v>44.32702312420028</c:v>
                </c:pt>
                <c:pt idx="23">
                  <c:v>44.12008366941144</c:v>
                </c:pt>
                <c:pt idx="24">
                  <c:v>43.97650952996072</c:v>
                </c:pt>
                <c:pt idx="25">
                  <c:v>43.77261184456513</c:v>
                </c:pt>
                <c:pt idx="26">
                  <c:v>43.62760371504615</c:v>
                </c:pt>
                <c:pt idx="27">
                  <c:v>43.42657595423194</c:v>
                </c:pt>
                <c:pt idx="28">
                  <c:v>43.28013848743814</c:v>
                </c:pt>
                <c:pt idx="29">
                  <c:v>43.08184356420167</c:v>
                </c:pt>
                <c:pt idx="30">
                  <c:v>42.93397206450847</c:v>
                </c:pt>
                <c:pt idx="31">
                  <c:v>42.73829650920584</c:v>
                </c:pt>
                <c:pt idx="32">
                  <c:v>42.58897962345721</c:v>
                </c:pt>
                <c:pt idx="33">
                  <c:v>42.39582642403353</c:v>
                </c:pt>
                <c:pt idx="34">
                  <c:v>42.24504794430992</c:v>
                </c:pt>
                <c:pt idx="35">
                  <c:v>42.05433188765315</c:v>
                </c:pt>
                <c:pt idx="36">
                  <c:v>41.90207195654053</c:v>
                </c:pt>
                <c:pt idx="37">
                  <c:v>41.80789425764706</c:v>
                </c:pt>
                <c:pt idx="38">
                  <c:v>41.73123353976112</c:v>
                </c:pt>
                <c:pt idx="39">
                  <c:v>41.63760253075466</c:v>
                </c:pt>
                <c:pt idx="40">
                  <c:v>41.56057878516144</c:v>
                </c:pt>
                <c:pt idx="41">
                  <c:v>41.4674957483044</c:v>
                </c:pt>
                <c:pt idx="42">
                  <c:v>41.39010105971229</c:v>
                </c:pt>
                <c:pt idx="43">
                  <c:v>41.29756450147327</c:v>
                </c:pt>
                <c:pt idx="44">
                  <c:v>41.21979227111942</c:v>
                </c:pt>
                <c:pt idx="45">
                  <c:v>41.12779889193173</c:v>
                </c:pt>
                <c:pt idx="46">
                  <c:v>41.04964339898878</c:v>
                </c:pt>
                <c:pt idx="47">
                  <c:v>40.9581887416816</c:v>
                </c:pt>
                <c:pt idx="48">
                  <c:v>40.87964484289409</c:v>
                </c:pt>
                <c:pt idx="49">
                  <c:v>40.7887237257275</c:v>
                </c:pt>
                <c:pt idx="50">
                  <c:v>40.70978664928448</c:v>
                </c:pt>
                <c:pt idx="51">
                  <c:v>40.6193934547058</c:v>
                </c:pt>
                <c:pt idx="52">
                  <c:v>40.54005865843825</c:v>
                </c:pt>
                <c:pt idx="53">
                  <c:v>40.45018752522861</c:v>
                </c:pt>
                <c:pt idx="54">
                  <c:v>40.37045059875837</c:v>
                </c:pt>
                <c:pt idx="55">
                  <c:v>40.28109554949715</c:v>
                </c:pt>
                <c:pt idx="56">
                  <c:v>40.20095214644017</c:v>
                </c:pt>
                <c:pt idx="57">
                  <c:v>40.11210717166568</c:v>
                </c:pt>
                <c:pt idx="58">
                  <c:v>40.03155296239701</c:v>
                </c:pt>
                <c:pt idx="59">
                  <c:v>39.94321207577909</c:v>
                </c:pt>
                <c:pt idx="60">
                  <c:v>39.94321207577909</c:v>
                </c:pt>
                <c:pt idx="61">
                  <c:v>39.94321207577909</c:v>
                </c:pt>
                <c:pt idx="62">
                  <c:v>39.94321207577909</c:v>
                </c:pt>
                <c:pt idx="63">
                  <c:v>39.94321207577909</c:v>
                </c:pt>
                <c:pt idx="64">
                  <c:v>39.94321207577909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House!$D$8</c:f>
              <c:strCache>
                <c:ptCount val="1"/>
                <c:pt idx="0">
                  <c:v>TA</c:v>
                </c:pt>
              </c:strCache>
            </c:strRef>
          </c:tx>
          <c:marker>
            <c:symbol val="none"/>
          </c:marker>
          <c:xVal>
            <c:numRef>
              <c:f>House!$A$9:$A$73</c:f>
              <c:numCache>
                <c:formatCode>m/d/yy\ h:mm</c:formatCode>
                <c:ptCount val="65"/>
                <c:pt idx="0">
                  <c:v>36526.0</c:v>
                </c:pt>
                <c:pt idx="1">
                  <c:v>36526.03714646378</c:v>
                </c:pt>
                <c:pt idx="2">
                  <c:v>36526.03943396408</c:v>
                </c:pt>
                <c:pt idx="3">
                  <c:v>36526.04641375748</c:v>
                </c:pt>
                <c:pt idx="4">
                  <c:v>36526.04887611957</c:v>
                </c:pt>
                <c:pt idx="5">
                  <c:v>36526.05479361966</c:v>
                </c:pt>
                <c:pt idx="6">
                  <c:v>36526.05737289823</c:v>
                </c:pt>
                <c:pt idx="7">
                  <c:v>36526.06278009873</c:v>
                </c:pt>
                <c:pt idx="8">
                  <c:v>36526.06544420173</c:v>
                </c:pt>
                <c:pt idx="9">
                  <c:v>36526.07054773875</c:v>
                </c:pt>
                <c:pt idx="10">
                  <c:v>36526.07327672227</c:v>
                </c:pt>
                <c:pt idx="11">
                  <c:v>36526.0781763601</c:v>
                </c:pt>
                <c:pt idx="12">
                  <c:v>36526.08095736591</c:v>
                </c:pt>
                <c:pt idx="13">
                  <c:v>36526.08570779786</c:v>
                </c:pt>
                <c:pt idx="14">
                  <c:v>36526.0885324409</c:v>
                </c:pt>
                <c:pt idx="15">
                  <c:v>36526.09316605185</c:v>
                </c:pt>
                <c:pt idx="16">
                  <c:v>36526.0960288654</c:v>
                </c:pt>
                <c:pt idx="17">
                  <c:v>36526.10056589603</c:v>
                </c:pt>
                <c:pt idx="18">
                  <c:v>36526.10346334713</c:v>
                </c:pt>
                <c:pt idx="19">
                  <c:v>36526.10791701257</c:v>
                </c:pt>
                <c:pt idx="20">
                  <c:v>36526.1108468615</c:v>
                </c:pt>
                <c:pt idx="21">
                  <c:v>36526.11522614048</c:v>
                </c:pt>
                <c:pt idx="22">
                  <c:v>36526.11818701826</c:v>
                </c:pt>
                <c:pt idx="23">
                  <c:v>36526.1224982569</c:v>
                </c:pt>
                <c:pt idx="24">
                  <c:v>36526.1254893848</c:v>
                </c:pt>
                <c:pt idx="25">
                  <c:v>36526.12973725325</c:v>
                </c:pt>
                <c:pt idx="26">
                  <c:v>36526.13275825595</c:v>
                </c:pt>
                <c:pt idx="27">
                  <c:v>36526.1369463343</c:v>
                </c:pt>
                <c:pt idx="28">
                  <c:v>36526.13999711486</c:v>
                </c:pt>
                <c:pt idx="29">
                  <c:v>36526.14412825909</c:v>
                </c:pt>
                <c:pt idx="30">
                  <c:v>36526.14720891533</c:v>
                </c:pt>
                <c:pt idx="31">
                  <c:v>36526.1512854894</c:v>
                </c:pt>
                <c:pt idx="32">
                  <c:v>36526.15439625785</c:v>
                </c:pt>
                <c:pt idx="33">
                  <c:v>36526.15842028285</c:v>
                </c:pt>
                <c:pt idx="34">
                  <c:v>36526.16156150118</c:v>
                </c:pt>
                <c:pt idx="35">
                  <c:v>36526.16553475236</c:v>
                </c:pt>
                <c:pt idx="36">
                  <c:v>36526.16870683425</c:v>
                </c:pt>
                <c:pt idx="37">
                  <c:v>36526.17263090504</c:v>
                </c:pt>
                <c:pt idx="38">
                  <c:v>36526.17582510161</c:v>
                </c:pt>
                <c:pt idx="39">
                  <c:v>36526.17972639365</c:v>
                </c:pt>
                <c:pt idx="40">
                  <c:v>36526.18293571639</c:v>
                </c:pt>
                <c:pt idx="41">
                  <c:v>36526.18681417625</c:v>
                </c:pt>
                <c:pt idx="42">
                  <c:v>36526.19003895495</c:v>
                </c:pt>
                <c:pt idx="43">
                  <c:v>36526.19389464487</c:v>
                </c:pt>
                <c:pt idx="44">
                  <c:v>36526.19713515447</c:v>
                </c:pt>
                <c:pt idx="45">
                  <c:v>36526.20096821194</c:v>
                </c:pt>
                <c:pt idx="46">
                  <c:v>36526.20422469081</c:v>
                </c:pt>
                <c:pt idx="47">
                  <c:v>36526.20803530153</c:v>
                </c:pt>
                <c:pt idx="48">
                  <c:v>36526.21130796398</c:v>
                </c:pt>
                <c:pt idx="49">
                  <c:v>36526.21509634386</c:v>
                </c:pt>
                <c:pt idx="50">
                  <c:v>36526.21838538871</c:v>
                </c:pt>
                <c:pt idx="51">
                  <c:v>36526.22215177182</c:v>
                </c:pt>
                <c:pt idx="52">
                  <c:v>36526.22545738833</c:v>
                </c:pt>
                <c:pt idx="53">
                  <c:v>36526.22920201888</c:v>
                </c:pt>
                <c:pt idx="54">
                  <c:v>36526.23252439082</c:v>
                </c:pt>
                <c:pt idx="55">
                  <c:v>36526.23624751787</c:v>
                </c:pt>
                <c:pt idx="56">
                  <c:v>36526.23958682633</c:v>
                </c:pt>
                <c:pt idx="57">
                  <c:v>36526.24328870028</c:v>
                </c:pt>
                <c:pt idx="58">
                  <c:v>36526.24664512566</c:v>
                </c:pt>
                <c:pt idx="59">
                  <c:v>36526.25032599594</c:v>
                </c:pt>
                <c:pt idx="60">
                  <c:v>36526.25369971934</c:v>
                </c:pt>
                <c:pt idx="61">
                  <c:v>36526.2573703184</c:v>
                </c:pt>
                <c:pt idx="62">
                  <c:v>36526.26074308572</c:v>
                </c:pt>
                <c:pt idx="63">
                  <c:v>36526.26441462522</c:v>
                </c:pt>
                <c:pt idx="64">
                  <c:v>36526.26778673911</c:v>
                </c:pt>
              </c:numCache>
            </c:numRef>
          </c:xVal>
          <c:yVal>
            <c:numRef>
              <c:f>House!$D$9:$D$73</c:f>
              <c:numCache>
                <c:formatCode>0.0</c:formatCode>
                <c:ptCount val="65"/>
                <c:pt idx="0">
                  <c:v>72.0</c:v>
                </c:pt>
                <c:pt idx="1">
                  <c:v>69.5</c:v>
                </c:pt>
                <c:pt idx="2">
                  <c:v>70.49999999999693</c:v>
                </c:pt>
                <c:pt idx="3">
                  <c:v>69.50000000000001</c:v>
                </c:pt>
                <c:pt idx="4">
                  <c:v>70.49999999999366</c:v>
                </c:pt>
                <c:pt idx="5">
                  <c:v>69.5</c:v>
                </c:pt>
                <c:pt idx="6">
                  <c:v>70.49999999998995</c:v>
                </c:pt>
                <c:pt idx="7">
                  <c:v>69.5</c:v>
                </c:pt>
                <c:pt idx="8">
                  <c:v>70.49999999998613</c:v>
                </c:pt>
                <c:pt idx="9">
                  <c:v>69.5</c:v>
                </c:pt>
                <c:pt idx="10">
                  <c:v>70.4999999999822</c:v>
                </c:pt>
                <c:pt idx="11">
                  <c:v>69.5</c:v>
                </c:pt>
                <c:pt idx="12">
                  <c:v>70.4999999999782</c:v>
                </c:pt>
                <c:pt idx="13">
                  <c:v>69.5</c:v>
                </c:pt>
                <c:pt idx="14">
                  <c:v>70.49999999997405</c:v>
                </c:pt>
                <c:pt idx="15">
                  <c:v>69.5</c:v>
                </c:pt>
                <c:pt idx="16">
                  <c:v>70.49999999996967</c:v>
                </c:pt>
                <c:pt idx="17">
                  <c:v>69.50000000883971</c:v>
                </c:pt>
                <c:pt idx="18">
                  <c:v>70.49999999996498</c:v>
                </c:pt>
                <c:pt idx="19">
                  <c:v>69.50000000723588</c:v>
                </c:pt>
                <c:pt idx="20">
                  <c:v>70.4999999999599</c:v>
                </c:pt>
                <c:pt idx="21">
                  <c:v>69.50000000599713</c:v>
                </c:pt>
                <c:pt idx="22">
                  <c:v>70.49999999995424</c:v>
                </c:pt>
                <c:pt idx="23">
                  <c:v>69.50000000501508</c:v>
                </c:pt>
                <c:pt idx="24">
                  <c:v>70.49999999994798</c:v>
                </c:pt>
                <c:pt idx="25">
                  <c:v>69.50000000422173</c:v>
                </c:pt>
                <c:pt idx="26">
                  <c:v>70.49999999994095</c:v>
                </c:pt>
                <c:pt idx="27">
                  <c:v>69.50000000357207</c:v>
                </c:pt>
                <c:pt idx="28">
                  <c:v>70.49999999993306</c:v>
                </c:pt>
                <c:pt idx="29">
                  <c:v>69.50000000303469</c:v>
                </c:pt>
                <c:pt idx="30">
                  <c:v>70.49999999992415</c:v>
                </c:pt>
                <c:pt idx="31">
                  <c:v>69.5000000025868</c:v>
                </c:pt>
                <c:pt idx="32">
                  <c:v>70.49999999991405</c:v>
                </c:pt>
                <c:pt idx="33">
                  <c:v>69.50000000221132</c:v>
                </c:pt>
                <c:pt idx="34">
                  <c:v>70.49999999990258</c:v>
                </c:pt>
                <c:pt idx="35">
                  <c:v>69.50000000189511</c:v>
                </c:pt>
                <c:pt idx="36">
                  <c:v>70.49999999988955</c:v>
                </c:pt>
                <c:pt idx="37">
                  <c:v>69.50000000162777</c:v>
                </c:pt>
                <c:pt idx="38">
                  <c:v>70.49999999987916</c:v>
                </c:pt>
                <c:pt idx="39">
                  <c:v>69.50000000151351</c:v>
                </c:pt>
                <c:pt idx="40">
                  <c:v>70.49999999987147</c:v>
                </c:pt>
                <c:pt idx="41">
                  <c:v>69.50000000140693</c:v>
                </c:pt>
                <c:pt idx="42">
                  <c:v>70.4999999998632</c:v>
                </c:pt>
                <c:pt idx="43">
                  <c:v>69.5000000013078</c:v>
                </c:pt>
                <c:pt idx="44">
                  <c:v>70.49999999985436</c:v>
                </c:pt>
                <c:pt idx="45">
                  <c:v>69.5000000012158</c:v>
                </c:pt>
                <c:pt idx="46">
                  <c:v>70.49999999984487</c:v>
                </c:pt>
                <c:pt idx="47">
                  <c:v>69.50000000113047</c:v>
                </c:pt>
                <c:pt idx="48">
                  <c:v>70.49999999983468</c:v>
                </c:pt>
                <c:pt idx="49">
                  <c:v>69.50000000105143</c:v>
                </c:pt>
                <c:pt idx="50">
                  <c:v>70.49999999982375</c:v>
                </c:pt>
                <c:pt idx="51">
                  <c:v>69.5000000009782</c:v>
                </c:pt>
                <c:pt idx="52">
                  <c:v>70.49999999981206</c:v>
                </c:pt>
                <c:pt idx="53">
                  <c:v>69.50000000091037</c:v>
                </c:pt>
                <c:pt idx="54">
                  <c:v>70.49999999979954</c:v>
                </c:pt>
                <c:pt idx="55">
                  <c:v>69.50000000084753</c:v>
                </c:pt>
                <c:pt idx="56">
                  <c:v>70.49999999978612</c:v>
                </c:pt>
                <c:pt idx="57">
                  <c:v>69.50000000078931</c:v>
                </c:pt>
                <c:pt idx="58">
                  <c:v>70.49999999977174</c:v>
                </c:pt>
                <c:pt idx="59">
                  <c:v>69.50000000073534</c:v>
                </c:pt>
                <c:pt idx="60">
                  <c:v>70.49999999975634</c:v>
                </c:pt>
                <c:pt idx="61">
                  <c:v>69.50000000070963</c:v>
                </c:pt>
                <c:pt idx="62">
                  <c:v>70.49999999975688</c:v>
                </c:pt>
                <c:pt idx="63">
                  <c:v>69.50000000071103</c:v>
                </c:pt>
                <c:pt idx="64">
                  <c:v>70.49999999975725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House!$E$8</c:f>
              <c:strCache>
                <c:ptCount val="1"/>
                <c:pt idx="0">
                  <c:v>TM</c:v>
                </c:pt>
              </c:strCache>
            </c:strRef>
          </c:tx>
          <c:marker>
            <c:symbol val="none"/>
          </c:marker>
          <c:xVal>
            <c:numRef>
              <c:f>House!$A$9:$A$73</c:f>
              <c:numCache>
                <c:formatCode>m/d/yy\ h:mm</c:formatCode>
                <c:ptCount val="65"/>
                <c:pt idx="0">
                  <c:v>36526.0</c:v>
                </c:pt>
                <c:pt idx="1">
                  <c:v>36526.03714646378</c:v>
                </c:pt>
                <c:pt idx="2">
                  <c:v>36526.03943396408</c:v>
                </c:pt>
                <c:pt idx="3">
                  <c:v>36526.04641375748</c:v>
                </c:pt>
                <c:pt idx="4">
                  <c:v>36526.04887611957</c:v>
                </c:pt>
                <c:pt idx="5">
                  <c:v>36526.05479361966</c:v>
                </c:pt>
                <c:pt idx="6">
                  <c:v>36526.05737289823</c:v>
                </c:pt>
                <c:pt idx="7">
                  <c:v>36526.06278009873</c:v>
                </c:pt>
                <c:pt idx="8">
                  <c:v>36526.06544420173</c:v>
                </c:pt>
                <c:pt idx="9">
                  <c:v>36526.07054773875</c:v>
                </c:pt>
                <c:pt idx="10">
                  <c:v>36526.07327672227</c:v>
                </c:pt>
                <c:pt idx="11">
                  <c:v>36526.0781763601</c:v>
                </c:pt>
                <c:pt idx="12">
                  <c:v>36526.08095736591</c:v>
                </c:pt>
                <c:pt idx="13">
                  <c:v>36526.08570779786</c:v>
                </c:pt>
                <c:pt idx="14">
                  <c:v>36526.0885324409</c:v>
                </c:pt>
                <c:pt idx="15">
                  <c:v>36526.09316605185</c:v>
                </c:pt>
                <c:pt idx="16">
                  <c:v>36526.0960288654</c:v>
                </c:pt>
                <c:pt idx="17">
                  <c:v>36526.10056589603</c:v>
                </c:pt>
                <c:pt idx="18">
                  <c:v>36526.10346334713</c:v>
                </c:pt>
                <c:pt idx="19">
                  <c:v>36526.10791701257</c:v>
                </c:pt>
                <c:pt idx="20">
                  <c:v>36526.1108468615</c:v>
                </c:pt>
                <c:pt idx="21">
                  <c:v>36526.11522614048</c:v>
                </c:pt>
                <c:pt idx="22">
                  <c:v>36526.11818701826</c:v>
                </c:pt>
                <c:pt idx="23">
                  <c:v>36526.1224982569</c:v>
                </c:pt>
                <c:pt idx="24">
                  <c:v>36526.1254893848</c:v>
                </c:pt>
                <c:pt idx="25">
                  <c:v>36526.12973725325</c:v>
                </c:pt>
                <c:pt idx="26">
                  <c:v>36526.13275825595</c:v>
                </c:pt>
                <c:pt idx="27">
                  <c:v>36526.1369463343</c:v>
                </c:pt>
                <c:pt idx="28">
                  <c:v>36526.13999711486</c:v>
                </c:pt>
                <c:pt idx="29">
                  <c:v>36526.14412825909</c:v>
                </c:pt>
                <c:pt idx="30">
                  <c:v>36526.14720891533</c:v>
                </c:pt>
                <c:pt idx="31">
                  <c:v>36526.1512854894</c:v>
                </c:pt>
                <c:pt idx="32">
                  <c:v>36526.15439625785</c:v>
                </c:pt>
                <c:pt idx="33">
                  <c:v>36526.15842028285</c:v>
                </c:pt>
                <c:pt idx="34">
                  <c:v>36526.16156150118</c:v>
                </c:pt>
                <c:pt idx="35">
                  <c:v>36526.16553475236</c:v>
                </c:pt>
                <c:pt idx="36">
                  <c:v>36526.16870683425</c:v>
                </c:pt>
                <c:pt idx="37">
                  <c:v>36526.17263090504</c:v>
                </c:pt>
                <c:pt idx="38">
                  <c:v>36526.17582510161</c:v>
                </c:pt>
                <c:pt idx="39">
                  <c:v>36526.17972639365</c:v>
                </c:pt>
                <c:pt idx="40">
                  <c:v>36526.18293571639</c:v>
                </c:pt>
                <c:pt idx="41">
                  <c:v>36526.18681417625</c:v>
                </c:pt>
                <c:pt idx="42">
                  <c:v>36526.19003895495</c:v>
                </c:pt>
                <c:pt idx="43">
                  <c:v>36526.19389464487</c:v>
                </c:pt>
                <c:pt idx="44">
                  <c:v>36526.19713515447</c:v>
                </c:pt>
                <c:pt idx="45">
                  <c:v>36526.20096821194</c:v>
                </c:pt>
                <c:pt idx="46">
                  <c:v>36526.20422469081</c:v>
                </c:pt>
                <c:pt idx="47">
                  <c:v>36526.20803530153</c:v>
                </c:pt>
                <c:pt idx="48">
                  <c:v>36526.21130796398</c:v>
                </c:pt>
                <c:pt idx="49">
                  <c:v>36526.21509634386</c:v>
                </c:pt>
                <c:pt idx="50">
                  <c:v>36526.21838538871</c:v>
                </c:pt>
                <c:pt idx="51">
                  <c:v>36526.22215177182</c:v>
                </c:pt>
                <c:pt idx="52">
                  <c:v>36526.22545738833</c:v>
                </c:pt>
                <c:pt idx="53">
                  <c:v>36526.22920201888</c:v>
                </c:pt>
                <c:pt idx="54">
                  <c:v>36526.23252439082</c:v>
                </c:pt>
                <c:pt idx="55">
                  <c:v>36526.23624751787</c:v>
                </c:pt>
                <c:pt idx="56">
                  <c:v>36526.23958682633</c:v>
                </c:pt>
                <c:pt idx="57">
                  <c:v>36526.24328870028</c:v>
                </c:pt>
                <c:pt idx="58">
                  <c:v>36526.24664512566</c:v>
                </c:pt>
                <c:pt idx="59">
                  <c:v>36526.25032599594</c:v>
                </c:pt>
                <c:pt idx="60">
                  <c:v>36526.25369971934</c:v>
                </c:pt>
                <c:pt idx="61">
                  <c:v>36526.2573703184</c:v>
                </c:pt>
                <c:pt idx="62">
                  <c:v>36526.26074308572</c:v>
                </c:pt>
                <c:pt idx="63">
                  <c:v>36526.26441462522</c:v>
                </c:pt>
                <c:pt idx="64">
                  <c:v>36526.26778673911</c:v>
                </c:pt>
              </c:numCache>
            </c:numRef>
          </c:xVal>
          <c:yVal>
            <c:numRef>
              <c:f>House!$E$11:$E$73</c:f>
              <c:numCache>
                <c:formatCode>0.0</c:formatCode>
                <c:ptCount val="63"/>
                <c:pt idx="0">
                  <c:v>70.37932029766881</c:v>
                </c:pt>
                <c:pt idx="1">
                  <c:v>70.23382682272079</c:v>
                </c:pt>
                <c:pt idx="2">
                  <c:v>70.21133379803887</c:v>
                </c:pt>
                <c:pt idx="3">
                  <c:v>70.13137449383831</c:v>
                </c:pt>
                <c:pt idx="4">
                  <c:v>70.12073528204041</c:v>
                </c:pt>
                <c:pt idx="5">
                  <c:v>70.070061401469</c:v>
                </c:pt>
                <c:pt idx="6">
                  <c:v>70.06705183350869</c:v>
                </c:pt>
                <c:pt idx="7">
                  <c:v>70.03207235463699</c:v>
                </c:pt>
                <c:pt idx="8">
                  <c:v>70.03406123823607</c:v>
                </c:pt>
                <c:pt idx="9">
                  <c:v>70.00822527705492</c:v>
                </c:pt>
                <c:pt idx="10">
                  <c:v>70.01351075643322</c:v>
                </c:pt>
                <c:pt idx="11">
                  <c:v>69.99325311124728</c:v>
                </c:pt>
                <c:pt idx="12">
                  <c:v>70.00071750137433</c:v>
                </c:pt>
                <c:pt idx="13">
                  <c:v>69.9839607585228</c:v>
                </c:pt>
                <c:pt idx="14">
                  <c:v>69.992864798392</c:v>
                </c:pt>
                <c:pt idx="15">
                  <c:v>69.97834706947202</c:v>
                </c:pt>
                <c:pt idx="16">
                  <c:v>69.98819997161616</c:v>
                </c:pt>
                <c:pt idx="17">
                  <c:v>69.97513392958562</c:v>
                </c:pt>
                <c:pt idx="18">
                  <c:v>69.98560918755962</c:v>
                </c:pt>
                <c:pt idx="19">
                  <c:v>69.9734946043394</c:v>
                </c:pt>
                <c:pt idx="20">
                  <c:v>69.98437478998273</c:v>
                </c:pt>
                <c:pt idx="21">
                  <c:v>69.97288969206188</c:v>
                </c:pt>
                <c:pt idx="22">
                  <c:v>69.98403002554443</c:v>
                </c:pt>
                <c:pt idx="23">
                  <c:v>69.97296510845158</c:v>
                </c:pt>
                <c:pt idx="24">
                  <c:v>69.9842693206597</c:v>
                </c:pt>
                <c:pt idx="25">
                  <c:v>69.97348739968707</c:v>
                </c:pt>
                <c:pt idx="26">
                  <c:v>69.98489168968016</c:v>
                </c:pt>
                <c:pt idx="27">
                  <c:v>69.974302172441</c:v>
                </c:pt>
                <c:pt idx="28">
                  <c:v>69.98576451675024</c:v>
                </c:pt>
                <c:pt idx="29">
                  <c:v>69.97530712245687</c:v>
                </c:pt>
                <c:pt idx="30">
                  <c:v>69.98680013331102</c:v>
                </c:pt>
                <c:pt idx="31">
                  <c:v>69.97643440921422</c:v>
                </c:pt>
                <c:pt idx="32">
                  <c:v>69.98794055248536</c:v>
                </c:pt>
                <c:pt idx="33">
                  <c:v>69.9776390736296</c:v>
                </c:pt>
                <c:pt idx="34">
                  <c:v>69.98914745982123</c:v>
                </c:pt>
                <c:pt idx="35">
                  <c:v>69.97889139240709</c:v>
                </c:pt>
                <c:pt idx="36">
                  <c:v>69.99034190970846</c:v>
                </c:pt>
                <c:pt idx="37">
                  <c:v>69.97999371612434</c:v>
                </c:pt>
                <c:pt idx="38">
                  <c:v>69.99136669770194</c:v>
                </c:pt>
                <c:pt idx="39">
                  <c:v>69.98095850754315</c:v>
                </c:pt>
                <c:pt idx="40">
                  <c:v>69.99227547561913</c:v>
                </c:pt>
                <c:pt idx="41">
                  <c:v>69.98182881257591</c:v>
                </c:pt>
                <c:pt idx="42">
                  <c:v>69.99310469726594</c:v>
                </c:pt>
                <c:pt idx="43">
                  <c:v>69.98263392503835</c:v>
                </c:pt>
                <c:pt idx="44">
                  <c:v>69.99387916074687</c:v>
                </c:pt>
                <c:pt idx="45">
                  <c:v>69.98339380869461</c:v>
                </c:pt>
                <c:pt idx="46">
                  <c:v>69.9946157607151</c:v>
                </c:pt>
                <c:pt idx="47">
                  <c:v>69.98412209319993</c:v>
                </c:pt>
                <c:pt idx="48">
                  <c:v>69.99532602960957</c:v>
                </c:pt>
                <c:pt idx="49">
                  <c:v>69.98482810510394</c:v>
                </c:pt>
                <c:pt idx="50">
                  <c:v>69.99601785955664</c:v>
                </c:pt>
                <c:pt idx="51">
                  <c:v>69.9855182456052</c:v>
                </c:pt>
                <c:pt idx="52">
                  <c:v>69.9966966697588</c:v>
                </c:pt>
                <c:pt idx="53">
                  <c:v>69.98619692579465</c:v>
                </c:pt>
                <c:pt idx="54">
                  <c:v>69.9973661984242</c:v>
                </c:pt>
                <c:pt idx="55">
                  <c:v>69.98686720194554</c:v>
                </c:pt>
                <c:pt idx="56">
                  <c:v>69.99802904033384</c:v>
                </c:pt>
                <c:pt idx="57">
                  <c:v>69.98753120734352</c:v>
                </c:pt>
                <c:pt idx="58">
                  <c:v>69.99868701198173</c:v>
                </c:pt>
                <c:pt idx="59">
                  <c:v>69.98813333626929</c:v>
                </c:pt>
                <c:pt idx="60">
                  <c:v>69.99918904773093</c:v>
                </c:pt>
                <c:pt idx="61">
                  <c:v>69.9885450468839</c:v>
                </c:pt>
                <c:pt idx="62">
                  <c:v>69.99953234900307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6981032"/>
        <c:axId val="-2076977944"/>
      </c:scatterChart>
      <c:valAx>
        <c:axId val="-2076981032"/>
        <c:scaling>
          <c:orientation val="minMax"/>
        </c:scaling>
        <c:delete val="0"/>
        <c:axPos val="b"/>
        <c:numFmt formatCode="m/d/yy\ h:mm" sourceLinked="1"/>
        <c:majorTickMark val="out"/>
        <c:minorTickMark val="none"/>
        <c:tickLblPos val="nextTo"/>
        <c:crossAx val="-2076977944"/>
        <c:crosses val="autoZero"/>
        <c:crossBetween val="midCat"/>
      </c:valAx>
      <c:valAx>
        <c:axId val="-2076977944"/>
        <c:scaling>
          <c:orientation val="minMax"/>
          <c:min val="35.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-20769810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630764</xdr:colOff>
      <xdr:row>45</xdr:row>
      <xdr:rowOff>25403</xdr:rowOff>
    </xdr:from>
    <xdr:to>
      <xdr:col>18</xdr:col>
      <xdr:colOff>618066</xdr:colOff>
      <xdr:row>70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73"/>
  <sheetViews>
    <sheetView tabSelected="1" workbookViewId="0">
      <pane ySplit="8" topLeftCell="A9" activePane="bottomLeft" state="frozenSplit"/>
      <selection sqref="A1:XFD8"/>
      <selection pane="bottomLeft" activeCell="Q10" sqref="Q10:Q73"/>
    </sheetView>
  </sheetViews>
  <sheetFormatPr baseColWidth="10" defaultRowHeight="15" x14ac:dyDescent="0"/>
  <cols>
    <col min="1" max="1" width="11.83203125" style="8" bestFit="1" customWidth="1"/>
    <col min="2" max="2" width="9.83203125" style="8" customWidth="1"/>
    <col min="3" max="15" width="10.83203125" style="8"/>
    <col min="16" max="16" width="11.1640625" style="8" bestFit="1" customWidth="1"/>
    <col min="17" max="20" width="10.83203125" style="13"/>
    <col min="21" max="21" width="10.83203125" style="8"/>
    <col min="22" max="22" width="12.83203125" style="8" bestFit="1" customWidth="1"/>
    <col min="23" max="23" width="10.83203125" style="8"/>
    <col min="24" max="16384" width="10.83203125" style="13"/>
  </cols>
  <sheetData>
    <row r="1" spans="1:23" s="6" customFormat="1" ht="16" thickBot="1">
      <c r="A1" s="30" t="s">
        <v>0</v>
      </c>
      <c r="B1" s="30"/>
      <c r="C1" s="5"/>
      <c r="D1" s="28" t="s">
        <v>3</v>
      </c>
      <c r="E1" s="28"/>
      <c r="F1" s="28"/>
      <c r="G1" s="28"/>
      <c r="H1" s="5"/>
      <c r="I1" s="28" t="s">
        <v>12</v>
      </c>
      <c r="J1" s="28"/>
      <c r="K1" s="28"/>
      <c r="L1" s="28"/>
      <c r="M1" s="5"/>
      <c r="N1" s="29" t="s">
        <v>23</v>
      </c>
      <c r="O1" s="29"/>
      <c r="P1" s="29"/>
      <c r="R1" s="22" t="s">
        <v>37</v>
      </c>
      <c r="S1" s="23">
        <f>(-b+rb2_4ac)/(2*a)</f>
        <v>-9.6064042322001927E-2</v>
      </c>
      <c r="U1" s="5"/>
      <c r="V1" s="5"/>
      <c r="W1" s="5"/>
    </row>
    <row r="2" spans="1:23">
      <c r="A2" s="7" t="s">
        <v>28</v>
      </c>
      <c r="B2" s="7" t="s">
        <v>33</v>
      </c>
      <c r="D2" s="9" t="s">
        <v>4</v>
      </c>
      <c r="E2" s="10" t="s">
        <v>5</v>
      </c>
      <c r="F2" s="10" t="s">
        <v>10</v>
      </c>
      <c r="G2" s="11" t="s">
        <v>11</v>
      </c>
      <c r="I2" s="9" t="s">
        <v>13</v>
      </c>
      <c r="J2" s="10" t="s">
        <v>16</v>
      </c>
      <c r="K2" s="10" t="s">
        <v>15</v>
      </c>
      <c r="L2" s="11" t="s">
        <v>17</v>
      </c>
      <c r="N2" s="12" t="s">
        <v>18</v>
      </c>
      <c r="O2" s="12" t="s">
        <v>19</v>
      </c>
      <c r="P2" s="12" t="s">
        <v>20</v>
      </c>
      <c r="Q2" s="6"/>
      <c r="R2" s="22" t="s">
        <v>38</v>
      </c>
      <c r="S2" s="23">
        <f>(-b-rb2_4ac)/(2*a)</f>
        <v>-8.639208999397427</v>
      </c>
    </row>
    <row r="3" spans="1:23" ht="16" thickBot="1">
      <c r="A3" s="7" t="s">
        <v>34</v>
      </c>
      <c r="B3" s="7">
        <v>4159</v>
      </c>
      <c r="D3" s="14">
        <v>573.19200000000001</v>
      </c>
      <c r="E3" s="15">
        <v>9138.92</v>
      </c>
      <c r="F3" s="16">
        <v>1470</v>
      </c>
      <c r="G3" s="17">
        <v>4293.8100000000004</v>
      </c>
      <c r="I3" s="14">
        <v>36000</v>
      </c>
      <c r="J3" s="16">
        <v>75</v>
      </c>
      <c r="K3" s="16">
        <v>70</v>
      </c>
      <c r="L3" s="17">
        <v>0.5</v>
      </c>
      <c r="N3" s="4">
        <f>CM*CA/HM</f>
        <v>690.66155519470578</v>
      </c>
      <c r="O3" s="4">
        <f>CM*UA/HM+CM+CA</f>
        <v>6033.1172640443292</v>
      </c>
      <c r="P3" s="4">
        <f>UA</f>
        <v>573.19200000000001</v>
      </c>
      <c r="R3" s="22" t="s">
        <v>39</v>
      </c>
      <c r="S3" s="24">
        <f>SQRT(b^2-4*a*c_)</f>
        <v>5900.4217823075214</v>
      </c>
    </row>
    <row r="4" spans="1:23">
      <c r="A4" s="7" t="s">
        <v>29</v>
      </c>
      <c r="B4" s="7" t="s">
        <v>32</v>
      </c>
      <c r="D4" s="18"/>
      <c r="E4" s="18"/>
      <c r="F4" s="18"/>
      <c r="G4" s="18"/>
      <c r="I4" s="18"/>
      <c r="J4" s="18"/>
      <c r="K4" s="18"/>
      <c r="L4" s="18"/>
    </row>
    <row r="5" spans="1:23">
      <c r="A5" s="7" t="s">
        <v>30</v>
      </c>
      <c r="B5" s="7" t="s">
        <v>31</v>
      </c>
      <c r="D5" s="18"/>
      <c r="E5" s="18"/>
      <c r="F5" s="18"/>
      <c r="G5" s="18"/>
      <c r="I5" s="18"/>
      <c r="J5" s="18"/>
      <c r="K5" s="18"/>
      <c r="L5" s="18"/>
    </row>
    <row r="7" spans="1:23" s="6" customFormat="1">
      <c r="A7" s="5"/>
      <c r="B7" s="29" t="s">
        <v>2</v>
      </c>
      <c r="C7" s="29"/>
      <c r="D7" s="29"/>
      <c r="E7" s="29"/>
      <c r="F7" s="29"/>
      <c r="G7" s="5" t="s">
        <v>22</v>
      </c>
      <c r="H7" s="29" t="s">
        <v>24</v>
      </c>
      <c r="I7" s="29"/>
      <c r="J7" s="29"/>
      <c r="K7" s="29"/>
      <c r="L7" s="29"/>
      <c r="M7" s="29"/>
      <c r="N7" s="29"/>
      <c r="O7" s="29"/>
      <c r="P7" s="29"/>
      <c r="Q7" s="5"/>
      <c r="U7" s="5"/>
      <c r="V7" s="5"/>
      <c r="W7" s="5"/>
    </row>
    <row r="8" spans="1:23" s="6" customFormat="1">
      <c r="A8" s="12" t="s">
        <v>1</v>
      </c>
      <c r="B8" s="12" t="s">
        <v>8</v>
      </c>
      <c r="C8" s="12" t="s">
        <v>35</v>
      </c>
      <c r="D8" s="12" t="s">
        <v>6</v>
      </c>
      <c r="E8" s="12" t="s">
        <v>7</v>
      </c>
      <c r="F8" s="12" t="s">
        <v>25</v>
      </c>
      <c r="G8" s="12" t="s">
        <v>21</v>
      </c>
      <c r="H8" s="12" t="s">
        <v>26</v>
      </c>
      <c r="I8" s="12" t="s">
        <v>27</v>
      </c>
      <c r="J8" s="21" t="s">
        <v>44</v>
      </c>
      <c r="K8" s="12" t="s">
        <v>36</v>
      </c>
      <c r="L8" s="12" t="s">
        <v>40</v>
      </c>
      <c r="M8" s="12" t="s">
        <v>41</v>
      </c>
      <c r="N8" s="12" t="s">
        <v>42</v>
      </c>
      <c r="O8" s="12" t="s">
        <v>43</v>
      </c>
      <c r="P8" s="12" t="s">
        <v>14</v>
      </c>
      <c r="Q8" s="12" t="s">
        <v>47</v>
      </c>
      <c r="R8" s="12" t="s">
        <v>46</v>
      </c>
      <c r="S8" s="12" t="s">
        <v>45</v>
      </c>
    </row>
    <row r="9" spans="1:23">
      <c r="A9" s="19">
        <v>36526</v>
      </c>
      <c r="B9" s="4">
        <f>VLOOKUP(A9,weather,2)</f>
        <v>50</v>
      </c>
      <c r="C9" s="4">
        <f t="shared" ref="C9:C40" si="0">VLOOKUP(A9,weather,3)</f>
        <v>48</v>
      </c>
      <c r="D9" s="4">
        <v>72</v>
      </c>
      <c r="E9" s="4">
        <f>D9</f>
        <v>72</v>
      </c>
      <c r="F9" s="4">
        <f t="shared" ref="F9:F40" si="1">C9-VLOOKUP(A9,weather,2)</f>
        <v>-2</v>
      </c>
      <c r="G9" s="4">
        <f t="shared" ref="G9:G40" si="2">IF(ABS(D9-(TH-DB))&lt;0.001,1,IF(ABS(D9-(TC+DB))&lt;0.001,-1,0))</f>
        <v>0</v>
      </c>
      <c r="H9" s="4">
        <f t="shared" ref="H9:H40" si="3">G9*QH</f>
        <v>0</v>
      </c>
      <c r="I9" s="4">
        <v>0</v>
      </c>
      <c r="J9" s="4">
        <f t="shared" ref="J9:J40" si="4">I9+H9+UA*B9</f>
        <v>28659.599999999999</v>
      </c>
      <c r="K9" s="4">
        <f t="shared" ref="K9:K40" si="5">HM/CA*E9+UA/CA*B9+H9/CA-(UA+HM)/CA*D9</f>
        <v>-8.5783836734694887</v>
      </c>
      <c r="L9" s="4">
        <f t="shared" ref="L9:L40" si="6">(q*D9-K9-J9/c_*q)/(q-p)</f>
        <v>21.243255876510535</v>
      </c>
      <c r="M9" s="4">
        <f t="shared" ref="M9:M40" si="7">D9-J9/c_-L9</f>
        <v>0.75674412348946518</v>
      </c>
      <c r="N9" s="4">
        <f t="shared" ref="N9:N40" si="8">CA/HM*p+(UA+HM)/HM</f>
        <v>1.0472679329490417</v>
      </c>
      <c r="O9" s="4">
        <f t="shared" ref="O9:O40" si="9">CA/HM*q+(UA+HM)/HM</f>
        <v>-0.32690134382555236</v>
      </c>
      <c r="P9" s="4">
        <f>IF(G9=0,IF(K9&gt;0,TC+DB,TH-DB),IF(G9&gt;0,TH+DB,TC-DB))</f>
        <v>69.5</v>
      </c>
      <c r="Q9" s="20">
        <f t="shared" ref="Q9:Q40" si="10">etpsolver(0,L9,p,M9,q,J9/_c-P9,0.00000001,100)</f>
        <v>0.89151513072673594</v>
      </c>
      <c r="R9" s="25">
        <f>etp(Q9,L9,p,M9,q,+(H9+I9)/UA)+B9</f>
        <v>69.5</v>
      </c>
      <c r="S9" s="25">
        <f t="shared" ref="S9:S40" si="11">L9*N9*EXP(p*Q9)+M9*O9*EXP(q*Q9)+I9/HM+I9/UA+H9/UA+B9</f>
        <v>70.421254734046641</v>
      </c>
      <c r="U9" s="13"/>
      <c r="V9" s="13"/>
      <c r="W9" s="13"/>
    </row>
    <row r="10" spans="1:23">
      <c r="A10" s="19">
        <f t="shared" ref="A10:A41" si="12">A9+Q9/24</f>
        <v>36526.037146463779</v>
      </c>
      <c r="B10" s="4">
        <f t="shared" ref="B10:B41" si="13">B9+Q9*F9</f>
        <v>48.216969738546531</v>
      </c>
      <c r="C10" s="4">
        <f t="shared" si="0"/>
        <v>48</v>
      </c>
      <c r="D10" s="26">
        <f>R9</f>
        <v>69.5</v>
      </c>
      <c r="E10" s="26">
        <f>S9</f>
        <v>70.421254734046641</v>
      </c>
      <c r="F10" s="4">
        <f t="shared" si="1"/>
        <v>-2</v>
      </c>
      <c r="G10" s="4">
        <f t="shared" si="2"/>
        <v>1</v>
      </c>
      <c r="H10" s="4">
        <f t="shared" si="3"/>
        <v>36000</v>
      </c>
      <c r="I10" s="4">
        <v>0</v>
      </c>
      <c r="J10" s="4">
        <f t="shared" si="4"/>
        <v>63637.581318376964</v>
      </c>
      <c r="K10" s="4">
        <f t="shared" si="5"/>
        <v>21.918374579898284</v>
      </c>
      <c r="L10" s="4">
        <f t="shared" si="6"/>
        <v>-39.424450494970287</v>
      </c>
      <c r="M10" s="4">
        <f t="shared" si="7"/>
        <v>-2.098699371700846</v>
      </c>
      <c r="N10" s="4">
        <f t="shared" si="8"/>
        <v>1.0472679329490417</v>
      </c>
      <c r="O10" s="4">
        <f t="shared" si="9"/>
        <v>-0.32690134382555236</v>
      </c>
      <c r="P10" s="4">
        <f t="shared" ref="P10:P40" si="14">IF(G10=0,IF(K10&gt;0,TC+DB,TH-DB),IF(G10&gt;0,TH+DB,TC-DB))</f>
        <v>70.5</v>
      </c>
      <c r="Q10" s="20">
        <f t="shared" si="10"/>
        <v>5.4900007226130851E-2</v>
      </c>
      <c r="R10" s="25">
        <f t="shared" ref="R10:R40" si="15">etp(Q10,L10,p,M10,q,+(H10+I10)/UA)+B10</f>
        <v>70.49999999999693</v>
      </c>
      <c r="S10" s="25">
        <f t="shared" si="11"/>
        <v>70.379320297668812</v>
      </c>
      <c r="U10" s="27"/>
      <c r="V10" s="13"/>
      <c r="W10" s="13"/>
    </row>
    <row r="11" spans="1:23">
      <c r="A11" s="19">
        <f t="shared" si="12"/>
        <v>36526.039433964077</v>
      </c>
      <c r="B11" s="4">
        <f t="shared" si="13"/>
        <v>48.10716972409427</v>
      </c>
      <c r="C11" s="4">
        <f t="shared" si="0"/>
        <v>48</v>
      </c>
      <c r="D11" s="26">
        <f t="shared" ref="D11:D73" si="16">R10</f>
        <v>70.49999999999693</v>
      </c>
      <c r="E11" s="26">
        <f t="shared" ref="E11:E73" si="17">S10</f>
        <v>70.379320297668812</v>
      </c>
      <c r="F11" s="4">
        <f t="shared" si="1"/>
        <v>-2</v>
      </c>
      <c r="G11" s="4">
        <f t="shared" si="2"/>
        <v>0</v>
      </c>
      <c r="H11" s="4">
        <f t="shared" si="3"/>
        <v>0</v>
      </c>
      <c r="I11" s="4">
        <v>0</v>
      </c>
      <c r="J11" s="4">
        <f t="shared" si="4"/>
        <v>27574.644828493045</v>
      </c>
      <c r="K11" s="4">
        <f t="shared" si="5"/>
        <v>-9.4818185827930392</v>
      </c>
      <c r="L11" s="4">
        <f t="shared" si="6"/>
        <v>21.534753674804126</v>
      </c>
      <c r="M11" s="4">
        <f t="shared" si="7"/>
        <v>0.85807660109853501</v>
      </c>
      <c r="N11" s="4">
        <f t="shared" si="8"/>
        <v>1.0472679329490417</v>
      </c>
      <c r="O11" s="4">
        <f t="shared" si="9"/>
        <v>-0.32690134382555236</v>
      </c>
      <c r="P11" s="4">
        <f t="shared" si="14"/>
        <v>69.5</v>
      </c>
      <c r="Q11" s="20">
        <f t="shared" si="10"/>
        <v>0.16751504173888751</v>
      </c>
      <c r="R11" s="25">
        <f t="shared" si="15"/>
        <v>69.500000000000014</v>
      </c>
      <c r="S11" s="25">
        <f t="shared" si="11"/>
        <v>70.233826822720786</v>
      </c>
      <c r="U11" s="13"/>
      <c r="V11" s="13"/>
      <c r="W11" s="13"/>
    </row>
    <row r="12" spans="1:23">
      <c r="A12" s="19">
        <f t="shared" si="12"/>
        <v>36526.046413757482</v>
      </c>
      <c r="B12" s="4">
        <f t="shared" si="13"/>
        <v>47.772139640616494</v>
      </c>
      <c r="C12" s="4">
        <f t="shared" si="0"/>
        <v>46</v>
      </c>
      <c r="D12" s="26">
        <f t="shared" si="16"/>
        <v>69.500000000000014</v>
      </c>
      <c r="E12" s="26">
        <f t="shared" si="17"/>
        <v>70.233826822720786</v>
      </c>
      <c r="F12" s="4">
        <f t="shared" si="1"/>
        <v>-2</v>
      </c>
      <c r="G12" s="4">
        <f t="shared" si="2"/>
        <v>1</v>
      </c>
      <c r="H12" s="4">
        <f t="shared" si="3"/>
        <v>36000</v>
      </c>
      <c r="I12" s="4">
        <v>0</v>
      </c>
      <c r="J12" s="4">
        <f t="shared" si="4"/>
        <v>63382.608264884249</v>
      </c>
      <c r="K12" s="4">
        <f t="shared" si="5"/>
        <v>20.579693123526226</v>
      </c>
      <c r="L12" s="4">
        <f t="shared" si="6"/>
        <v>-39.131315034732765</v>
      </c>
      <c r="M12" s="4">
        <f t="shared" si="7"/>
        <v>-1.947004734008317</v>
      </c>
      <c r="N12" s="4">
        <f t="shared" si="8"/>
        <v>1.0472679329490417</v>
      </c>
      <c r="O12" s="4">
        <f t="shared" si="9"/>
        <v>-0.32690134382555236</v>
      </c>
      <c r="P12" s="4">
        <f t="shared" si="14"/>
        <v>70.5</v>
      </c>
      <c r="Q12" s="20">
        <f t="shared" si="10"/>
        <v>5.9096690207753821E-2</v>
      </c>
      <c r="R12" s="25">
        <f t="shared" si="15"/>
        <v>70.499999999993662</v>
      </c>
      <c r="S12" s="25">
        <f t="shared" si="11"/>
        <v>70.211333798038879</v>
      </c>
      <c r="U12" s="13"/>
      <c r="V12" s="13"/>
      <c r="W12" s="13"/>
    </row>
    <row r="13" spans="1:23">
      <c r="A13" s="19">
        <f t="shared" si="12"/>
        <v>36526.048876119574</v>
      </c>
      <c r="B13" s="4">
        <f t="shared" si="13"/>
        <v>47.653946260200989</v>
      </c>
      <c r="C13" s="4">
        <f t="shared" si="0"/>
        <v>46</v>
      </c>
      <c r="D13" s="26">
        <f t="shared" si="16"/>
        <v>70.499999999993662</v>
      </c>
      <c r="E13" s="26">
        <f t="shared" si="17"/>
        <v>70.211333798038879</v>
      </c>
      <c r="F13" s="4">
        <f t="shared" si="1"/>
        <v>-2</v>
      </c>
      <c r="G13" s="4">
        <f t="shared" si="2"/>
        <v>0</v>
      </c>
      <c r="H13" s="4">
        <f t="shared" si="3"/>
        <v>0</v>
      </c>
      <c r="I13" s="4">
        <v>0</v>
      </c>
      <c r="J13" s="4">
        <f t="shared" si="4"/>
        <v>27314.860764777124</v>
      </c>
      <c r="K13" s="4">
        <f t="shared" si="5"/>
        <v>-10.702906504481632</v>
      </c>
      <c r="L13" s="4">
        <f t="shared" si="6"/>
        <v>21.850141546580392</v>
      </c>
      <c r="M13" s="4">
        <f t="shared" si="7"/>
        <v>0.99591219321228053</v>
      </c>
      <c r="N13" s="4">
        <f t="shared" si="8"/>
        <v>1.0472679329490417</v>
      </c>
      <c r="O13" s="4">
        <f t="shared" si="9"/>
        <v>-0.32690134382555236</v>
      </c>
      <c r="P13" s="4">
        <f t="shared" si="14"/>
        <v>69.5</v>
      </c>
      <c r="Q13" s="20">
        <f t="shared" si="10"/>
        <v>0.14202000209751092</v>
      </c>
      <c r="R13" s="25">
        <f t="shared" si="15"/>
        <v>69.5</v>
      </c>
      <c r="S13" s="25">
        <f t="shared" si="11"/>
        <v>70.131374493838308</v>
      </c>
      <c r="U13" s="13"/>
      <c r="V13" s="13"/>
      <c r="W13" s="13"/>
    </row>
    <row r="14" spans="1:23">
      <c r="A14" s="19">
        <f t="shared" si="12"/>
        <v>36526.05479361966</v>
      </c>
      <c r="B14" s="4">
        <f t="shared" si="13"/>
        <v>47.369906256005969</v>
      </c>
      <c r="C14" s="4">
        <f t="shared" si="0"/>
        <v>46</v>
      </c>
      <c r="D14" s="26">
        <f t="shared" si="16"/>
        <v>69.5</v>
      </c>
      <c r="E14" s="26">
        <f t="shared" si="17"/>
        <v>70.131374493838308</v>
      </c>
      <c r="F14" s="4">
        <f t="shared" si="1"/>
        <v>-2</v>
      </c>
      <c r="G14" s="4">
        <f t="shared" si="2"/>
        <v>1</v>
      </c>
      <c r="H14" s="4">
        <f t="shared" si="3"/>
        <v>36000</v>
      </c>
      <c r="I14" s="4">
        <v>0</v>
      </c>
      <c r="J14" s="4">
        <f t="shared" si="4"/>
        <v>63152.051306692578</v>
      </c>
      <c r="K14" s="4">
        <f t="shared" si="5"/>
        <v>19.78591040538862</v>
      </c>
      <c r="L14" s="4">
        <f t="shared" si="6"/>
        <v>-38.817473285409875</v>
      </c>
      <c r="M14" s="4">
        <f t="shared" si="7"/>
        <v>-1.8586130987207099</v>
      </c>
      <c r="N14" s="4">
        <f t="shared" si="8"/>
        <v>1.0472679329490417</v>
      </c>
      <c r="O14" s="4">
        <f t="shared" si="9"/>
        <v>-0.32690134382555236</v>
      </c>
      <c r="P14" s="4">
        <f t="shared" si="14"/>
        <v>70.5</v>
      </c>
      <c r="Q14" s="20">
        <f t="shared" si="10"/>
        <v>6.1902685774599668E-2</v>
      </c>
      <c r="R14" s="25">
        <f t="shared" si="15"/>
        <v>70.499999999989953</v>
      </c>
      <c r="S14" s="25">
        <f t="shared" si="11"/>
        <v>70.120735282040414</v>
      </c>
      <c r="U14" s="13"/>
      <c r="V14" s="13"/>
      <c r="W14" s="13"/>
    </row>
    <row r="15" spans="1:23">
      <c r="A15" s="19">
        <f t="shared" si="12"/>
        <v>36526.057372898234</v>
      </c>
      <c r="B15" s="4">
        <f t="shared" si="13"/>
        <v>47.246100884456773</v>
      </c>
      <c r="C15" s="4">
        <f t="shared" si="0"/>
        <v>46</v>
      </c>
      <c r="D15" s="26">
        <f t="shared" si="16"/>
        <v>70.499999999989953</v>
      </c>
      <c r="E15" s="26">
        <f t="shared" si="17"/>
        <v>70.120735282040414</v>
      </c>
      <c r="F15" s="4">
        <f t="shared" si="1"/>
        <v>-2</v>
      </c>
      <c r="G15" s="4">
        <f t="shared" si="2"/>
        <v>0</v>
      </c>
      <c r="H15" s="4">
        <f t="shared" si="3"/>
        <v>0</v>
      </c>
      <c r="I15" s="4">
        <v>0</v>
      </c>
      <c r="J15" s="4">
        <f t="shared" si="4"/>
        <v>27081.087058163546</v>
      </c>
      <c r="K15" s="4">
        <f t="shared" si="5"/>
        <v>-11.425182896594663</v>
      </c>
      <c r="L15" s="4">
        <f t="shared" si="6"/>
        <v>22.178028415224347</v>
      </c>
      <c r="M15" s="4">
        <f t="shared" si="7"/>
        <v>1.0758707003088332</v>
      </c>
      <c r="N15" s="4">
        <f t="shared" si="8"/>
        <v>1.0472679329490417</v>
      </c>
      <c r="O15" s="4">
        <f t="shared" si="9"/>
        <v>-0.32690134382555236</v>
      </c>
      <c r="P15" s="4">
        <f t="shared" si="14"/>
        <v>69.5</v>
      </c>
      <c r="Q15" s="20">
        <f t="shared" si="10"/>
        <v>0.1297728120623895</v>
      </c>
      <c r="R15" s="25">
        <f t="shared" si="15"/>
        <v>69.5</v>
      </c>
      <c r="S15" s="25">
        <f t="shared" si="11"/>
        <v>70.070061401469005</v>
      </c>
      <c r="U15" s="13"/>
      <c r="V15" s="13"/>
      <c r="W15" s="13"/>
    </row>
    <row r="16" spans="1:23">
      <c r="A16" s="19">
        <f t="shared" si="12"/>
        <v>36526.062780098735</v>
      </c>
      <c r="B16" s="4">
        <f t="shared" si="13"/>
        <v>46.986555260331997</v>
      </c>
      <c r="C16" s="4">
        <f t="shared" si="0"/>
        <v>46</v>
      </c>
      <c r="D16" s="26">
        <f t="shared" si="16"/>
        <v>69.5</v>
      </c>
      <c r="E16" s="26">
        <f t="shared" si="17"/>
        <v>70.070061401469005</v>
      </c>
      <c r="F16" s="4">
        <f t="shared" si="1"/>
        <v>-2</v>
      </c>
      <c r="G16" s="4">
        <f t="shared" si="2"/>
        <v>1</v>
      </c>
      <c r="H16" s="4">
        <f t="shared" si="3"/>
        <v>36000</v>
      </c>
      <c r="I16" s="4">
        <v>0</v>
      </c>
      <c r="J16" s="4">
        <f t="shared" si="4"/>
        <v>62932.317582780219</v>
      </c>
      <c r="K16" s="4">
        <f t="shared" si="5"/>
        <v>19.255251106049855</v>
      </c>
      <c r="L16" s="4">
        <f t="shared" si="6"/>
        <v>-38.491926886936056</v>
      </c>
      <c r="M16" s="4">
        <f t="shared" si="7"/>
        <v>-1.8008085015205495</v>
      </c>
      <c r="N16" s="4">
        <f t="shared" si="8"/>
        <v>1.0472679329490417</v>
      </c>
      <c r="O16" s="4">
        <f t="shared" si="9"/>
        <v>-0.32690134382555236</v>
      </c>
      <c r="P16" s="4">
        <f t="shared" si="14"/>
        <v>70.5</v>
      </c>
      <c r="Q16" s="20">
        <f t="shared" si="10"/>
        <v>6.3938471948346703E-2</v>
      </c>
      <c r="R16" s="25">
        <f t="shared" si="15"/>
        <v>70.49999999998613</v>
      </c>
      <c r="S16" s="25">
        <f t="shared" si="11"/>
        <v>70.067051833508685</v>
      </c>
      <c r="U16" s="13"/>
      <c r="V16" s="13"/>
      <c r="W16" s="13"/>
    </row>
    <row r="17" spans="1:23">
      <c r="A17" s="19">
        <f t="shared" si="12"/>
        <v>36526.065444201733</v>
      </c>
      <c r="B17" s="4">
        <f t="shared" si="13"/>
        <v>46.858678316435302</v>
      </c>
      <c r="C17" s="4">
        <f t="shared" si="0"/>
        <v>46</v>
      </c>
      <c r="D17" s="26">
        <f t="shared" si="16"/>
        <v>70.49999999998613</v>
      </c>
      <c r="E17" s="26">
        <f t="shared" si="17"/>
        <v>70.067051833508685</v>
      </c>
      <c r="F17" s="4">
        <f t="shared" si="1"/>
        <v>-2</v>
      </c>
      <c r="G17" s="4">
        <f t="shared" si="2"/>
        <v>0</v>
      </c>
      <c r="H17" s="4">
        <f t="shared" si="3"/>
        <v>0</v>
      </c>
      <c r="I17" s="4">
        <v>0</v>
      </c>
      <c r="J17" s="4">
        <f t="shared" si="4"/>
        <v>26859.019541554186</v>
      </c>
      <c r="K17" s="4">
        <f t="shared" si="5"/>
        <v>-11.909996677565971</v>
      </c>
      <c r="L17" s="4">
        <f t="shared" si="6"/>
        <v>22.513058520600939</v>
      </c>
      <c r="M17" s="4">
        <f t="shared" si="7"/>
        <v>1.1282631629498887</v>
      </c>
      <c r="N17" s="4">
        <f t="shared" si="8"/>
        <v>1.0472679329490417</v>
      </c>
      <c r="O17" s="4">
        <f t="shared" si="9"/>
        <v>-0.32690134382555236</v>
      </c>
      <c r="P17" s="4">
        <f t="shared" si="14"/>
        <v>69.5</v>
      </c>
      <c r="Q17" s="20">
        <f t="shared" si="10"/>
        <v>0.12248488851388145</v>
      </c>
      <c r="R17" s="25">
        <f t="shared" si="15"/>
        <v>69.5</v>
      </c>
      <c r="S17" s="25">
        <f t="shared" si="11"/>
        <v>70.032072354636995</v>
      </c>
      <c r="U17" s="13"/>
      <c r="V17" s="13"/>
      <c r="W17" s="13"/>
    </row>
    <row r="18" spans="1:23">
      <c r="A18" s="19">
        <f t="shared" si="12"/>
        <v>36526.070547738753</v>
      </c>
      <c r="B18" s="4">
        <f t="shared" si="13"/>
        <v>46.61370853940754</v>
      </c>
      <c r="C18" s="4">
        <f t="shared" si="0"/>
        <v>46</v>
      </c>
      <c r="D18" s="26">
        <f t="shared" si="16"/>
        <v>69.5</v>
      </c>
      <c r="E18" s="26">
        <f t="shared" si="17"/>
        <v>70.032072354636995</v>
      </c>
      <c r="F18" s="4">
        <f t="shared" si="1"/>
        <v>-2</v>
      </c>
      <c r="G18" s="4">
        <f t="shared" si="2"/>
        <v>1</v>
      </c>
      <c r="H18" s="4">
        <f t="shared" si="3"/>
        <v>36000</v>
      </c>
      <c r="I18" s="4">
        <v>0</v>
      </c>
      <c r="J18" s="4">
        <f t="shared" si="4"/>
        <v>62718.604825120085</v>
      </c>
      <c r="K18" s="4">
        <f t="shared" si="5"/>
        <v>18.873692182557193</v>
      </c>
      <c r="L18" s="4">
        <f t="shared" si="6"/>
        <v>-38.159550246064235</v>
      </c>
      <c r="M18" s="4">
        <f t="shared" si="7"/>
        <v>-1.7603384214679139</v>
      </c>
      <c r="N18" s="4">
        <f t="shared" si="8"/>
        <v>1.0472679329490417</v>
      </c>
      <c r="O18" s="4">
        <f t="shared" si="9"/>
        <v>-0.32690134382555236</v>
      </c>
      <c r="P18" s="4">
        <f t="shared" si="14"/>
        <v>70.5</v>
      </c>
      <c r="Q18" s="20">
        <f t="shared" si="10"/>
        <v>6.5495604424376047E-2</v>
      </c>
      <c r="R18" s="25">
        <f t="shared" si="15"/>
        <v>70.499999999982194</v>
      </c>
      <c r="S18" s="25">
        <f t="shared" si="11"/>
        <v>70.034061238236077</v>
      </c>
      <c r="U18" s="13"/>
      <c r="V18" s="13"/>
      <c r="W18" s="13"/>
    </row>
    <row r="19" spans="1:23">
      <c r="A19" s="19">
        <f t="shared" si="12"/>
        <v>36526.073276722273</v>
      </c>
      <c r="B19" s="4">
        <f t="shared" si="13"/>
        <v>46.482717330558785</v>
      </c>
      <c r="C19" s="4">
        <f t="shared" si="0"/>
        <v>46</v>
      </c>
      <c r="D19" s="26">
        <f t="shared" si="16"/>
        <v>70.499999999982194</v>
      </c>
      <c r="E19" s="26">
        <f t="shared" si="17"/>
        <v>70.034061238236077</v>
      </c>
      <c r="F19" s="4">
        <f t="shared" si="1"/>
        <v>-2</v>
      </c>
      <c r="G19" s="4">
        <f t="shared" si="2"/>
        <v>0</v>
      </c>
      <c r="H19" s="4">
        <f t="shared" si="3"/>
        <v>0</v>
      </c>
      <c r="I19" s="4">
        <v>0</v>
      </c>
      <c r="J19" s="4">
        <f t="shared" si="4"/>
        <v>26643.521712137652</v>
      </c>
      <c r="K19" s="4">
        <f t="shared" si="5"/>
        <v>-12.261694800237478</v>
      </c>
      <c r="L19" s="4">
        <f t="shared" si="6"/>
        <v>22.852079738718345</v>
      </c>
      <c r="M19" s="4">
        <f t="shared" si="7"/>
        <v>1.165202930705064</v>
      </c>
      <c r="N19" s="4">
        <f t="shared" si="8"/>
        <v>1.0472679329490417</v>
      </c>
      <c r="O19" s="4">
        <f t="shared" si="9"/>
        <v>-0.32690134382555236</v>
      </c>
      <c r="P19" s="4">
        <f t="shared" si="14"/>
        <v>69.5</v>
      </c>
      <c r="Q19" s="20">
        <f t="shared" si="10"/>
        <v>0.11759130770868152</v>
      </c>
      <c r="R19" s="25">
        <f t="shared" si="15"/>
        <v>69.5</v>
      </c>
      <c r="S19" s="25">
        <f t="shared" si="11"/>
        <v>70.008225277054919</v>
      </c>
      <c r="U19" s="13"/>
      <c r="V19" s="13"/>
      <c r="W19" s="13"/>
    </row>
    <row r="20" spans="1:23">
      <c r="A20" s="19">
        <f t="shared" si="12"/>
        <v>36526.078176360097</v>
      </c>
      <c r="B20" s="4">
        <f t="shared" si="13"/>
        <v>46.24753471514142</v>
      </c>
      <c r="C20" s="4">
        <f t="shared" si="0"/>
        <v>46</v>
      </c>
      <c r="D20" s="26">
        <f t="shared" si="16"/>
        <v>69.5</v>
      </c>
      <c r="E20" s="26">
        <f t="shared" si="17"/>
        <v>70.008225277054919</v>
      </c>
      <c r="F20" s="4">
        <f t="shared" si="1"/>
        <v>-2</v>
      </c>
      <c r="G20" s="4">
        <f t="shared" si="2"/>
        <v>1</v>
      </c>
      <c r="H20" s="4">
        <f t="shared" si="3"/>
        <v>36000</v>
      </c>
      <c r="I20" s="4">
        <v>0</v>
      </c>
      <c r="J20" s="4">
        <f t="shared" si="4"/>
        <v>62508.716918441336</v>
      </c>
      <c r="K20" s="4">
        <f t="shared" si="5"/>
        <v>18.582655147907474</v>
      </c>
      <c r="L20" s="4">
        <f t="shared" si="6"/>
        <v>-37.823325685000803</v>
      </c>
      <c r="M20" s="4">
        <f t="shared" si="7"/>
        <v>-1.7303891582652184</v>
      </c>
      <c r="N20" s="4">
        <f t="shared" si="8"/>
        <v>1.0472679329490417</v>
      </c>
      <c r="O20" s="4">
        <f t="shared" si="9"/>
        <v>-0.32690134382555236</v>
      </c>
      <c r="P20" s="4">
        <f t="shared" si="14"/>
        <v>70.5</v>
      </c>
      <c r="Q20" s="20">
        <f t="shared" si="10"/>
        <v>6.6744139549903214E-2</v>
      </c>
      <c r="R20" s="25">
        <f t="shared" si="15"/>
        <v>70.499999999978201</v>
      </c>
      <c r="S20" s="25">
        <f t="shared" si="11"/>
        <v>70.01351075643322</v>
      </c>
      <c r="U20" s="13"/>
      <c r="V20" s="13"/>
      <c r="W20" s="13"/>
    </row>
    <row r="21" spans="1:23">
      <c r="A21" s="19">
        <f t="shared" si="12"/>
        <v>36526.080957365913</v>
      </c>
      <c r="B21" s="4">
        <f t="shared" si="13"/>
        <v>46.114046436041612</v>
      </c>
      <c r="C21" s="4">
        <f t="shared" si="0"/>
        <v>46</v>
      </c>
      <c r="D21" s="26">
        <f t="shared" si="16"/>
        <v>70.499999999978201</v>
      </c>
      <c r="E21" s="26">
        <f t="shared" si="17"/>
        <v>70.01351075643322</v>
      </c>
      <c r="F21" s="4">
        <f t="shared" si="1"/>
        <v>-2</v>
      </c>
      <c r="G21" s="4">
        <f t="shared" si="2"/>
        <v>0</v>
      </c>
      <c r="H21" s="4">
        <f t="shared" si="3"/>
        <v>0</v>
      </c>
      <c r="I21" s="4">
        <v>0</v>
      </c>
      <c r="J21" s="4">
        <f t="shared" si="4"/>
        <v>26432.202504767563</v>
      </c>
      <c r="K21" s="4">
        <f t="shared" si="5"/>
        <v>-12.53321072982186</v>
      </c>
      <c r="L21" s="4">
        <f t="shared" si="6"/>
        <v>23.193114450729972</v>
      </c>
      <c r="M21" s="4">
        <f t="shared" si="7"/>
        <v>1.1928391132066167</v>
      </c>
      <c r="N21" s="4">
        <f t="shared" si="8"/>
        <v>1.0472679329490417</v>
      </c>
      <c r="O21" s="4">
        <f t="shared" si="9"/>
        <v>-0.32690134382555236</v>
      </c>
      <c r="P21" s="4">
        <f t="shared" si="14"/>
        <v>69.5</v>
      </c>
      <c r="Q21" s="20">
        <f t="shared" si="10"/>
        <v>0.11401036660694067</v>
      </c>
      <c r="R21" s="25">
        <f t="shared" si="15"/>
        <v>69.5</v>
      </c>
      <c r="S21" s="25">
        <f t="shared" si="11"/>
        <v>69.993253111247284</v>
      </c>
      <c r="U21" s="13"/>
      <c r="V21" s="13"/>
      <c r="W21" s="13"/>
    </row>
    <row r="22" spans="1:23">
      <c r="A22" s="19">
        <f t="shared" si="12"/>
        <v>36526.085707797858</v>
      </c>
      <c r="B22" s="4">
        <f t="shared" si="13"/>
        <v>45.88602570282773</v>
      </c>
      <c r="C22" s="4">
        <f t="shared" si="0"/>
        <v>44</v>
      </c>
      <c r="D22" s="26">
        <f t="shared" si="16"/>
        <v>69.5</v>
      </c>
      <c r="E22" s="26">
        <f t="shared" si="17"/>
        <v>69.993253111247284</v>
      </c>
      <c r="F22" s="4">
        <f t="shared" si="1"/>
        <v>-2</v>
      </c>
      <c r="G22" s="4">
        <f t="shared" si="2"/>
        <v>1</v>
      </c>
      <c r="H22" s="4">
        <f t="shared" si="3"/>
        <v>36000</v>
      </c>
      <c r="I22" s="4">
        <v>0</v>
      </c>
      <c r="J22" s="4">
        <f t="shared" si="4"/>
        <v>62301.502844655231</v>
      </c>
      <c r="K22" s="4">
        <f t="shared" si="5"/>
        <v>18.348611951085161</v>
      </c>
      <c r="L22" s="4">
        <f t="shared" si="6"/>
        <v>-37.485147095004088</v>
      </c>
      <c r="M22" s="4">
        <f t="shared" si="7"/>
        <v>-1.7070587359482445</v>
      </c>
      <c r="N22" s="4">
        <f t="shared" si="8"/>
        <v>1.0472679329490417</v>
      </c>
      <c r="O22" s="4">
        <f t="shared" si="9"/>
        <v>-0.32690134382555236</v>
      </c>
      <c r="P22" s="4">
        <f t="shared" si="14"/>
        <v>70.5</v>
      </c>
      <c r="Q22" s="20">
        <f t="shared" si="10"/>
        <v>6.7791433495350328E-2</v>
      </c>
      <c r="R22" s="25">
        <f t="shared" si="15"/>
        <v>70.499999999974051</v>
      </c>
      <c r="S22" s="25">
        <f t="shared" si="11"/>
        <v>70.000717501374325</v>
      </c>
      <c r="U22" s="13"/>
      <c r="V22" s="13"/>
      <c r="W22" s="13"/>
    </row>
    <row r="23" spans="1:23">
      <c r="A23" s="19">
        <f t="shared" si="12"/>
        <v>36526.088532440917</v>
      </c>
      <c r="B23" s="4">
        <f t="shared" si="13"/>
        <v>45.750442835837028</v>
      </c>
      <c r="C23" s="4">
        <f t="shared" si="0"/>
        <v>44</v>
      </c>
      <c r="D23" s="26">
        <f t="shared" si="16"/>
        <v>70.499999999974051</v>
      </c>
      <c r="E23" s="26">
        <f t="shared" si="17"/>
        <v>70.000717501374325</v>
      </c>
      <c r="F23" s="4">
        <f t="shared" si="1"/>
        <v>-2</v>
      </c>
      <c r="G23" s="4">
        <f t="shared" si="2"/>
        <v>0</v>
      </c>
      <c r="H23" s="4">
        <f t="shared" si="3"/>
        <v>0</v>
      </c>
      <c r="I23" s="4">
        <v>0</v>
      </c>
      <c r="J23" s="4">
        <f t="shared" si="4"/>
        <v>26223.787829959099</v>
      </c>
      <c r="K23" s="4">
        <f t="shared" si="5"/>
        <v>-12.754524477638824</v>
      </c>
      <c r="L23" s="4">
        <f t="shared" si="6"/>
        <v>23.534901200447898</v>
      </c>
      <c r="M23" s="4">
        <f t="shared" si="7"/>
        <v>1.2146559636891254</v>
      </c>
      <c r="N23" s="4">
        <f t="shared" si="8"/>
        <v>1.0472679329490417</v>
      </c>
      <c r="O23" s="4">
        <f t="shared" si="9"/>
        <v>-0.32690134382555236</v>
      </c>
      <c r="P23" s="4">
        <f t="shared" si="14"/>
        <v>69.5</v>
      </c>
      <c r="Q23" s="20">
        <f t="shared" si="10"/>
        <v>0.11120666242089908</v>
      </c>
      <c r="R23" s="25">
        <f t="shared" si="15"/>
        <v>69.5</v>
      </c>
      <c r="S23" s="25">
        <f t="shared" si="11"/>
        <v>69.983960758522798</v>
      </c>
      <c r="U23" s="13"/>
      <c r="V23" s="13"/>
      <c r="W23" s="13"/>
    </row>
    <row r="24" spans="1:23">
      <c r="A24" s="19">
        <f t="shared" si="12"/>
        <v>36526.093166051854</v>
      </c>
      <c r="B24" s="4">
        <f t="shared" si="13"/>
        <v>45.528029510995232</v>
      </c>
      <c r="C24" s="4">
        <f t="shared" si="0"/>
        <v>44</v>
      </c>
      <c r="D24" s="26">
        <f t="shared" si="16"/>
        <v>69.5</v>
      </c>
      <c r="E24" s="26">
        <f t="shared" si="17"/>
        <v>69.983960758522798</v>
      </c>
      <c r="F24" s="4">
        <f t="shared" si="1"/>
        <v>-2</v>
      </c>
      <c r="G24" s="4">
        <f t="shared" si="2"/>
        <v>1</v>
      </c>
      <c r="H24" s="4">
        <f t="shared" si="3"/>
        <v>36000</v>
      </c>
      <c r="I24" s="4">
        <v>0</v>
      </c>
      <c r="J24" s="4">
        <f t="shared" si="4"/>
        <v>62096.302291466374</v>
      </c>
      <c r="K24" s="4">
        <f t="shared" si="5"/>
        <v>18.151249623636375</v>
      </c>
      <c r="L24" s="4">
        <f t="shared" si="6"/>
        <v>-37.146227223068323</v>
      </c>
      <c r="M24" s="4">
        <f t="shared" si="7"/>
        <v>-1.6879824160515113</v>
      </c>
      <c r="N24" s="4">
        <f t="shared" si="8"/>
        <v>1.0472679329490417</v>
      </c>
      <c r="O24" s="4">
        <f t="shared" si="9"/>
        <v>-0.32690134382555236</v>
      </c>
      <c r="P24" s="4">
        <f t="shared" si="14"/>
        <v>70.5</v>
      </c>
      <c r="Q24" s="20">
        <f t="shared" si="10"/>
        <v>6.8707525072768325E-2</v>
      </c>
      <c r="R24" s="25">
        <f t="shared" si="15"/>
        <v>70.499999999969674</v>
      </c>
      <c r="S24" s="25">
        <f t="shared" si="11"/>
        <v>69.99286479839202</v>
      </c>
      <c r="U24" s="13"/>
      <c r="V24" s="13"/>
      <c r="W24" s="13"/>
    </row>
    <row r="25" spans="1:23">
      <c r="A25" s="19">
        <f t="shared" si="12"/>
        <v>36526.096028865402</v>
      </c>
      <c r="B25" s="4">
        <f t="shared" si="13"/>
        <v>45.390614460849697</v>
      </c>
      <c r="C25" s="4">
        <f t="shared" si="0"/>
        <v>44</v>
      </c>
      <c r="D25" s="26">
        <f t="shared" si="16"/>
        <v>70.499999999969674</v>
      </c>
      <c r="E25" s="26">
        <f t="shared" si="17"/>
        <v>69.99286479839202</v>
      </c>
      <c r="F25" s="4">
        <f t="shared" si="1"/>
        <v>-2</v>
      </c>
      <c r="G25" s="4">
        <f t="shared" si="2"/>
        <v>0</v>
      </c>
      <c r="H25" s="4">
        <f t="shared" si="3"/>
        <v>0</v>
      </c>
      <c r="I25" s="4">
        <v>0</v>
      </c>
      <c r="J25" s="4">
        <f t="shared" si="4"/>
        <v>26017.537084043361</v>
      </c>
      <c r="K25" s="4">
        <f t="shared" si="5"/>
        <v>-12.943650987987382</v>
      </c>
      <c r="L25" s="4">
        <f t="shared" si="6"/>
        <v>23.876637884035912</v>
      </c>
      <c r="M25" s="4">
        <f t="shared" si="7"/>
        <v>1.232747655084065</v>
      </c>
      <c r="N25" s="4">
        <f t="shared" si="8"/>
        <v>1.0472679329490417</v>
      </c>
      <c r="O25" s="4">
        <f t="shared" si="9"/>
        <v>-0.32690134382555236</v>
      </c>
      <c r="P25" s="4">
        <f t="shared" si="14"/>
        <v>69.5</v>
      </c>
      <c r="Q25" s="20">
        <f t="shared" si="10"/>
        <v>0.10888873524140882</v>
      </c>
      <c r="R25" s="25">
        <f t="shared" si="15"/>
        <v>69.500000008839706</v>
      </c>
      <c r="S25" s="25">
        <f t="shared" si="11"/>
        <v>69.978347069472022</v>
      </c>
      <c r="U25" s="13"/>
      <c r="V25" s="13"/>
      <c r="W25" s="13"/>
    </row>
    <row r="26" spans="1:23">
      <c r="A26" s="19">
        <f t="shared" si="12"/>
        <v>36526.100565896035</v>
      </c>
      <c r="B26" s="4">
        <f t="shared" si="13"/>
        <v>45.172836990366882</v>
      </c>
      <c r="C26" s="4">
        <f t="shared" si="0"/>
        <v>44</v>
      </c>
      <c r="D26" s="26">
        <f t="shared" si="16"/>
        <v>69.500000008839706</v>
      </c>
      <c r="E26" s="26">
        <f t="shared" si="17"/>
        <v>69.978347069472022</v>
      </c>
      <c r="F26" s="4">
        <f t="shared" si="1"/>
        <v>-2</v>
      </c>
      <c r="G26" s="4">
        <f t="shared" si="2"/>
        <v>1</v>
      </c>
      <c r="H26" s="4">
        <f t="shared" si="3"/>
        <v>36000</v>
      </c>
      <c r="I26" s="4">
        <v>0</v>
      </c>
      <c r="J26" s="4">
        <f t="shared" si="4"/>
        <v>61892.708780182373</v>
      </c>
      <c r="K26" s="4">
        <f t="shared" si="5"/>
        <v>17.977850540455336</v>
      </c>
      <c r="L26" s="4">
        <f t="shared" si="6"/>
        <v>-36.807337571954506</v>
      </c>
      <c r="M26" s="4">
        <f t="shared" si="7"/>
        <v>-1.6716795376972726</v>
      </c>
      <c r="N26" s="4">
        <f t="shared" si="8"/>
        <v>1.0472679329490417</v>
      </c>
      <c r="O26" s="4">
        <f t="shared" si="9"/>
        <v>-0.32690134382555236</v>
      </c>
      <c r="P26" s="4">
        <f t="shared" si="14"/>
        <v>70.5</v>
      </c>
      <c r="Q26" s="20">
        <f t="shared" si="10"/>
        <v>6.9538826179335017E-2</v>
      </c>
      <c r="R26" s="25">
        <f t="shared" si="15"/>
        <v>70.499999999964984</v>
      </c>
      <c r="S26" s="25">
        <f t="shared" si="11"/>
        <v>69.988199971616169</v>
      </c>
      <c r="U26" s="13"/>
      <c r="V26" s="13"/>
      <c r="W26" s="13"/>
    </row>
    <row r="27" spans="1:23">
      <c r="A27" s="19">
        <f t="shared" si="12"/>
        <v>36526.103463347128</v>
      </c>
      <c r="B27" s="4">
        <f t="shared" si="13"/>
        <v>45.03375933800821</v>
      </c>
      <c r="C27" s="4">
        <f t="shared" si="0"/>
        <v>44</v>
      </c>
      <c r="D27" s="26">
        <f t="shared" si="16"/>
        <v>70.499999999964984</v>
      </c>
      <c r="E27" s="26">
        <f t="shared" si="17"/>
        <v>69.988199971616169</v>
      </c>
      <c r="F27" s="4">
        <f t="shared" si="1"/>
        <v>-2</v>
      </c>
      <c r="G27" s="4">
        <f t="shared" si="2"/>
        <v>0</v>
      </c>
      <c r="H27" s="4">
        <f t="shared" si="3"/>
        <v>0</v>
      </c>
      <c r="I27" s="4">
        <v>0</v>
      </c>
      <c r="J27" s="4">
        <f t="shared" si="4"/>
        <v>25812.990582471601</v>
      </c>
      <c r="K27" s="4">
        <f t="shared" si="5"/>
        <v>-13.11179927386803</v>
      </c>
      <c r="L27" s="4">
        <f t="shared" si="6"/>
        <v>24.217823444793396</v>
      </c>
      <c r="M27" s="4">
        <f t="shared" si="7"/>
        <v>1.2484172171633787</v>
      </c>
      <c r="N27" s="4">
        <f t="shared" si="8"/>
        <v>1.0472679329490417</v>
      </c>
      <c r="O27" s="4">
        <f t="shared" si="9"/>
        <v>-0.32690134382555236</v>
      </c>
      <c r="P27" s="4">
        <f t="shared" si="14"/>
        <v>69.5</v>
      </c>
      <c r="Q27" s="20">
        <f t="shared" si="10"/>
        <v>0.1068879706205678</v>
      </c>
      <c r="R27" s="25">
        <f t="shared" si="15"/>
        <v>69.500000007235883</v>
      </c>
      <c r="S27" s="25">
        <f t="shared" si="11"/>
        <v>69.975133929585624</v>
      </c>
      <c r="U27" s="13"/>
      <c r="V27" s="13"/>
      <c r="W27" s="13"/>
    </row>
    <row r="28" spans="1:23">
      <c r="A28" s="19">
        <f t="shared" si="12"/>
        <v>36526.107917012574</v>
      </c>
      <c r="B28" s="4">
        <f t="shared" si="13"/>
        <v>44.819983396767071</v>
      </c>
      <c r="C28" s="4">
        <f t="shared" si="0"/>
        <v>44</v>
      </c>
      <c r="D28" s="26">
        <f t="shared" si="16"/>
        <v>69.500000007235883</v>
      </c>
      <c r="E28" s="26">
        <f t="shared" si="17"/>
        <v>69.975133929585624</v>
      </c>
      <c r="F28" s="4">
        <f t="shared" si="1"/>
        <v>-2</v>
      </c>
      <c r="G28" s="4">
        <f t="shared" si="2"/>
        <v>1</v>
      </c>
      <c r="H28" s="4">
        <f t="shared" si="3"/>
        <v>36000</v>
      </c>
      <c r="I28" s="4">
        <v>0</v>
      </c>
      <c r="J28" s="4">
        <f t="shared" si="4"/>
        <v>61690.455923159709</v>
      </c>
      <c r="K28" s="4">
        <f t="shared" si="5"/>
        <v>17.820287635818147</v>
      </c>
      <c r="L28" s="4">
        <f t="shared" si="6"/>
        <v>-36.468959487849745</v>
      </c>
      <c r="M28" s="4">
        <f t="shared" si="7"/>
        <v>-1.6572040298060386</v>
      </c>
      <c r="N28" s="4">
        <f t="shared" si="8"/>
        <v>1.0472679329490417</v>
      </c>
      <c r="O28" s="4">
        <f t="shared" si="9"/>
        <v>-0.32690134382555236</v>
      </c>
      <c r="P28" s="4">
        <f t="shared" si="14"/>
        <v>70.5</v>
      </c>
      <c r="Q28" s="20">
        <f t="shared" si="10"/>
        <v>7.0316374222807565E-2</v>
      </c>
      <c r="R28" s="25">
        <f t="shared" si="15"/>
        <v>70.499999999959897</v>
      </c>
      <c r="S28" s="25">
        <f t="shared" si="11"/>
        <v>69.985609187559618</v>
      </c>
      <c r="U28" s="13"/>
      <c r="V28" s="13"/>
      <c r="W28" s="13"/>
    </row>
    <row r="29" spans="1:23">
      <c r="A29" s="19">
        <f t="shared" si="12"/>
        <v>36526.110846861498</v>
      </c>
      <c r="B29" s="4">
        <f t="shared" si="13"/>
        <v>44.679350648321453</v>
      </c>
      <c r="C29" s="4">
        <f t="shared" si="0"/>
        <v>44</v>
      </c>
      <c r="D29" s="26">
        <f t="shared" si="16"/>
        <v>70.499999999959897</v>
      </c>
      <c r="E29" s="26">
        <f t="shared" si="17"/>
        <v>69.985609187559618</v>
      </c>
      <c r="F29" s="4">
        <f t="shared" si="1"/>
        <v>-2</v>
      </c>
      <c r="G29" s="4">
        <f t="shared" si="2"/>
        <v>0</v>
      </c>
      <c r="H29" s="4">
        <f t="shared" si="3"/>
        <v>0</v>
      </c>
      <c r="I29" s="4">
        <v>0</v>
      </c>
      <c r="J29" s="4">
        <f t="shared" si="4"/>
        <v>25609.846356812672</v>
      </c>
      <c r="K29" s="4">
        <f t="shared" si="5"/>
        <v>-13.266099405731666</v>
      </c>
      <c r="L29" s="4">
        <f t="shared" si="6"/>
        <v>24.558156030054143</v>
      </c>
      <c r="M29" s="4">
        <f t="shared" si="7"/>
        <v>1.2624933215843015</v>
      </c>
      <c r="N29" s="4">
        <f t="shared" si="8"/>
        <v>1.0472679329490417</v>
      </c>
      <c r="O29" s="4">
        <f t="shared" si="9"/>
        <v>-0.32690134382555236</v>
      </c>
      <c r="P29" s="4">
        <f t="shared" si="14"/>
        <v>69.5</v>
      </c>
      <c r="Q29" s="20">
        <f t="shared" si="10"/>
        <v>0.10510269567452284</v>
      </c>
      <c r="R29" s="25">
        <f t="shared" si="15"/>
        <v>69.500000005997137</v>
      </c>
      <c r="S29" s="25">
        <f t="shared" si="11"/>
        <v>69.973494604339407</v>
      </c>
      <c r="U29" s="13"/>
      <c r="V29" s="13"/>
      <c r="W29" s="13"/>
    </row>
    <row r="30" spans="1:23">
      <c r="A30" s="19">
        <f t="shared" si="12"/>
        <v>36526.115226140486</v>
      </c>
      <c r="B30" s="4">
        <f t="shared" si="13"/>
        <v>44.469145256972411</v>
      </c>
      <c r="C30" s="4">
        <f t="shared" si="0"/>
        <v>44</v>
      </c>
      <c r="D30" s="26">
        <f t="shared" si="16"/>
        <v>69.500000005997137</v>
      </c>
      <c r="E30" s="26">
        <f t="shared" si="17"/>
        <v>69.973494604339407</v>
      </c>
      <c r="F30" s="4">
        <f t="shared" si="1"/>
        <v>-2</v>
      </c>
      <c r="G30" s="4">
        <f t="shared" si="2"/>
        <v>1</v>
      </c>
      <c r="H30" s="4">
        <f t="shared" si="3"/>
        <v>36000</v>
      </c>
      <c r="I30" s="4">
        <v>0</v>
      </c>
      <c r="J30" s="4">
        <f t="shared" si="4"/>
        <v>61489.358308134528</v>
      </c>
      <c r="K30" s="4">
        <f t="shared" si="5"/>
        <v>17.673294938353081</v>
      </c>
      <c r="L30" s="4">
        <f t="shared" si="6"/>
        <v>-36.13138224656808</v>
      </c>
      <c r="M30" s="4">
        <f t="shared" si="7"/>
        <v>-1.6439431325318026</v>
      </c>
      <c r="N30" s="4">
        <f t="shared" si="8"/>
        <v>1.0472679329490417</v>
      </c>
      <c r="O30" s="4">
        <f t="shared" si="9"/>
        <v>-0.32690134382555236</v>
      </c>
      <c r="P30" s="4">
        <f t="shared" si="14"/>
        <v>70.5</v>
      </c>
      <c r="Q30" s="20">
        <f t="shared" si="10"/>
        <v>7.1061066386065935E-2</v>
      </c>
      <c r="R30" s="25">
        <f t="shared" si="15"/>
        <v>70.499999999954241</v>
      </c>
      <c r="S30" s="25">
        <f t="shared" si="11"/>
        <v>69.984374789982738</v>
      </c>
      <c r="U30" s="13"/>
      <c r="V30" s="13"/>
      <c r="W30" s="13"/>
    </row>
    <row r="31" spans="1:23">
      <c r="A31" s="19">
        <f t="shared" si="12"/>
        <v>36526.118187018255</v>
      </c>
      <c r="B31" s="4">
        <f t="shared" si="13"/>
        <v>44.327023124200281</v>
      </c>
      <c r="C31" s="4">
        <f t="shared" si="0"/>
        <v>44</v>
      </c>
      <c r="D31" s="26">
        <f t="shared" si="16"/>
        <v>70.499999999954241</v>
      </c>
      <c r="E31" s="26">
        <f t="shared" si="17"/>
        <v>69.984374789982738</v>
      </c>
      <c r="F31" s="4">
        <f t="shared" si="1"/>
        <v>-2</v>
      </c>
      <c r="G31" s="4">
        <f t="shared" si="2"/>
        <v>0</v>
      </c>
      <c r="H31" s="4">
        <f t="shared" si="3"/>
        <v>0</v>
      </c>
      <c r="I31" s="4">
        <v>0</v>
      </c>
      <c r="J31" s="4">
        <f t="shared" si="4"/>
        <v>25407.895038606606</v>
      </c>
      <c r="K31" s="4">
        <f t="shared" si="5"/>
        <v>-13.411155445768713</v>
      </c>
      <c r="L31" s="4">
        <f t="shared" si="6"/>
        <v>24.897466095797128</v>
      </c>
      <c r="M31" s="4">
        <f t="shared" si="7"/>
        <v>1.2755107799568322</v>
      </c>
      <c r="N31" s="4">
        <f t="shared" si="8"/>
        <v>1.0472679329490417</v>
      </c>
      <c r="O31" s="4">
        <f t="shared" si="9"/>
        <v>-0.32690134382555236</v>
      </c>
      <c r="P31" s="4">
        <f t="shared" si="14"/>
        <v>69.5</v>
      </c>
      <c r="Q31" s="20">
        <f t="shared" si="10"/>
        <v>0.1034697273944222</v>
      </c>
      <c r="R31" s="25">
        <f t="shared" si="15"/>
        <v>69.500000005015082</v>
      </c>
      <c r="S31" s="25">
        <f t="shared" si="11"/>
        <v>69.972889692061884</v>
      </c>
      <c r="U31" s="13"/>
      <c r="V31" s="13"/>
      <c r="W31" s="13"/>
    </row>
    <row r="32" spans="1:23">
      <c r="A32" s="19">
        <f t="shared" si="12"/>
        <v>36526.122498256897</v>
      </c>
      <c r="B32" s="4">
        <f t="shared" si="13"/>
        <v>44.120083669411436</v>
      </c>
      <c r="C32" s="4">
        <f t="shared" si="0"/>
        <v>44</v>
      </c>
      <c r="D32" s="26">
        <f t="shared" si="16"/>
        <v>69.500000005015082</v>
      </c>
      <c r="E32" s="26">
        <f t="shared" si="17"/>
        <v>69.972889692061884</v>
      </c>
      <c r="F32" s="4">
        <f t="shared" si="1"/>
        <v>-2</v>
      </c>
      <c r="G32" s="4">
        <f t="shared" si="2"/>
        <v>1</v>
      </c>
      <c r="H32" s="4">
        <f t="shared" si="3"/>
        <v>36000</v>
      </c>
      <c r="I32" s="4">
        <v>0</v>
      </c>
      <c r="J32" s="4">
        <f t="shared" si="4"/>
        <v>61289.278998637281</v>
      </c>
      <c r="K32" s="4">
        <f t="shared" si="5"/>
        <v>17.533425860209718</v>
      </c>
      <c r="L32" s="4">
        <f t="shared" si="6"/>
        <v>-35.794767693447156</v>
      </c>
      <c r="M32" s="4">
        <f t="shared" si="7"/>
        <v>-1.6314960990738001</v>
      </c>
      <c r="N32" s="4">
        <f t="shared" si="8"/>
        <v>1.0472679329490417</v>
      </c>
      <c r="O32" s="4">
        <f t="shared" si="9"/>
        <v>-0.32690134382555236</v>
      </c>
      <c r="P32" s="4">
        <f t="shared" si="14"/>
        <v>70.5</v>
      </c>
      <c r="Q32" s="20">
        <f t="shared" si="10"/>
        <v>7.1787069725361627E-2</v>
      </c>
      <c r="R32" s="25">
        <f t="shared" si="15"/>
        <v>70.499999999947988</v>
      </c>
      <c r="S32" s="25">
        <f t="shared" si="11"/>
        <v>69.984030025544428</v>
      </c>
      <c r="U32" s="13"/>
      <c r="V32" s="13"/>
      <c r="W32" s="13"/>
    </row>
    <row r="33" spans="1:23">
      <c r="A33" s="19">
        <f t="shared" si="12"/>
        <v>36526.125489384802</v>
      </c>
      <c r="B33" s="4">
        <f t="shared" si="13"/>
        <v>43.976509529960715</v>
      </c>
      <c r="C33" s="4">
        <f t="shared" si="0"/>
        <v>42</v>
      </c>
      <c r="D33" s="26">
        <f t="shared" si="16"/>
        <v>70.499999999947988</v>
      </c>
      <c r="E33" s="26">
        <f t="shared" si="17"/>
        <v>69.984030025544428</v>
      </c>
      <c r="F33" s="4">
        <f t="shared" si="1"/>
        <v>-2</v>
      </c>
      <c r="G33" s="4">
        <f t="shared" si="2"/>
        <v>0</v>
      </c>
      <c r="H33" s="4">
        <f t="shared" si="3"/>
        <v>0</v>
      </c>
      <c r="I33" s="4">
        <v>0</v>
      </c>
      <c r="J33" s="4">
        <f t="shared" si="4"/>
        <v>25206.983450497242</v>
      </c>
      <c r="K33" s="4">
        <f t="shared" si="5"/>
        <v>-13.549973379557287</v>
      </c>
      <c r="L33" s="4">
        <f t="shared" si="6"/>
        <v>25.235672023291084</v>
      </c>
      <c r="M33" s="4">
        <f t="shared" si="7"/>
        <v>1.2878184466961891</v>
      </c>
      <c r="N33" s="4">
        <f t="shared" si="8"/>
        <v>1.0472679329490417</v>
      </c>
      <c r="O33" s="4">
        <f t="shared" si="9"/>
        <v>-0.32690134382555236</v>
      </c>
      <c r="P33" s="4">
        <f t="shared" si="14"/>
        <v>69.5</v>
      </c>
      <c r="Q33" s="20">
        <f t="shared" si="10"/>
        <v>0.10194884269779111</v>
      </c>
      <c r="R33" s="25">
        <f t="shared" si="15"/>
        <v>69.500000004221732</v>
      </c>
      <c r="S33" s="25">
        <f t="shared" si="11"/>
        <v>69.972965108451575</v>
      </c>
      <c r="U33" s="13"/>
      <c r="V33" s="13"/>
      <c r="W33" s="13"/>
    </row>
    <row r="34" spans="1:23">
      <c r="A34" s="19">
        <f t="shared" si="12"/>
        <v>36526.12973725325</v>
      </c>
      <c r="B34" s="4">
        <f t="shared" si="13"/>
        <v>43.772611844565134</v>
      </c>
      <c r="C34" s="4">
        <f t="shared" si="0"/>
        <v>42</v>
      </c>
      <c r="D34" s="26">
        <f t="shared" si="16"/>
        <v>69.500000004221732</v>
      </c>
      <c r="E34" s="26">
        <f t="shared" si="17"/>
        <v>69.972965108451575</v>
      </c>
      <c r="F34" s="4">
        <f t="shared" si="1"/>
        <v>-2</v>
      </c>
      <c r="G34" s="4">
        <f t="shared" si="2"/>
        <v>1</v>
      </c>
      <c r="H34" s="4">
        <f t="shared" si="3"/>
        <v>36000</v>
      </c>
      <c r="I34" s="4">
        <v>0</v>
      </c>
      <c r="J34" s="4">
        <f t="shared" si="4"/>
        <v>61090.11092840998</v>
      </c>
      <c r="K34" s="4">
        <f t="shared" si="5"/>
        <v>17.398406242406963</v>
      </c>
      <c r="L34" s="4">
        <f t="shared" si="6"/>
        <v>-35.459193135600266</v>
      </c>
      <c r="M34" s="4">
        <f t="shared" si="7"/>
        <v>-1.6195988328677444</v>
      </c>
      <c r="N34" s="4">
        <f t="shared" si="8"/>
        <v>1.0472679329490417</v>
      </c>
      <c r="O34" s="4">
        <f t="shared" si="9"/>
        <v>-0.32690134382555236</v>
      </c>
      <c r="P34" s="4">
        <f t="shared" si="14"/>
        <v>70.5</v>
      </c>
      <c r="Q34" s="20">
        <f t="shared" si="10"/>
        <v>7.250406475949181E-2</v>
      </c>
      <c r="R34" s="25">
        <f t="shared" si="15"/>
        <v>70.499999999940954</v>
      </c>
      <c r="S34" s="25">
        <f t="shared" si="11"/>
        <v>69.984269320659706</v>
      </c>
      <c r="U34" s="13"/>
      <c r="V34" s="13"/>
      <c r="W34" s="13"/>
    </row>
    <row r="35" spans="1:23">
      <c r="A35" s="19">
        <f t="shared" si="12"/>
        <v>36526.132758255946</v>
      </c>
      <c r="B35" s="4">
        <f t="shared" si="13"/>
        <v>43.627603715046149</v>
      </c>
      <c r="C35" s="4">
        <f t="shared" si="0"/>
        <v>42</v>
      </c>
      <c r="D35" s="26">
        <f t="shared" si="16"/>
        <v>70.499999999940954</v>
      </c>
      <c r="E35" s="26">
        <f t="shared" si="17"/>
        <v>69.984269320659706</v>
      </c>
      <c r="F35" s="4">
        <f t="shared" si="1"/>
        <v>-2</v>
      </c>
      <c r="G35" s="4">
        <f t="shared" si="2"/>
        <v>0</v>
      </c>
      <c r="H35" s="4">
        <f t="shared" si="3"/>
        <v>0</v>
      </c>
      <c r="I35" s="4">
        <v>0</v>
      </c>
      <c r="J35" s="4">
        <f t="shared" si="4"/>
        <v>25006.993428634734</v>
      </c>
      <c r="K35" s="4">
        <f t="shared" si="5"/>
        <v>-13.68453332709413</v>
      </c>
      <c r="L35" s="4">
        <f t="shared" si="6"/>
        <v>25.572750502355102</v>
      </c>
      <c r="M35" s="4">
        <f t="shared" si="7"/>
        <v>1.2996457825397023</v>
      </c>
      <c r="N35" s="4">
        <f t="shared" si="8"/>
        <v>1.0472679329490417</v>
      </c>
      <c r="O35" s="4">
        <f t="shared" si="9"/>
        <v>-0.32690134382555236</v>
      </c>
      <c r="P35" s="4">
        <f t="shared" si="14"/>
        <v>69.5</v>
      </c>
      <c r="Q35" s="20">
        <f t="shared" si="10"/>
        <v>0.10051388040710468</v>
      </c>
      <c r="R35" s="25">
        <f t="shared" si="15"/>
        <v>69.500000003572069</v>
      </c>
      <c r="S35" s="25">
        <f t="shared" si="11"/>
        <v>69.973487399687073</v>
      </c>
      <c r="U35" s="13"/>
      <c r="V35" s="13"/>
      <c r="W35" s="13"/>
    </row>
    <row r="36" spans="1:23">
      <c r="A36" s="19">
        <f t="shared" si="12"/>
        <v>36526.1369463343</v>
      </c>
      <c r="B36" s="4">
        <f t="shared" si="13"/>
        <v>43.426575954231943</v>
      </c>
      <c r="C36" s="4">
        <f t="shared" si="0"/>
        <v>42</v>
      </c>
      <c r="D36" s="26">
        <f t="shared" si="16"/>
        <v>69.500000003572069</v>
      </c>
      <c r="E36" s="26">
        <f t="shared" si="17"/>
        <v>69.973487399687073</v>
      </c>
      <c r="F36" s="4">
        <f t="shared" si="1"/>
        <v>-2</v>
      </c>
      <c r="G36" s="4">
        <f t="shared" si="2"/>
        <v>1</v>
      </c>
      <c r="H36" s="4">
        <f t="shared" si="3"/>
        <v>36000</v>
      </c>
      <c r="I36" s="4">
        <v>0</v>
      </c>
      <c r="J36" s="4">
        <f t="shared" si="4"/>
        <v>60891.765924358115</v>
      </c>
      <c r="K36" s="4">
        <f t="shared" si="5"/>
        <v>17.266724732254374</v>
      </c>
      <c r="L36" s="4">
        <f t="shared" si="6"/>
        <v>-35.124679923372824</v>
      </c>
      <c r="M36" s="4">
        <f t="shared" si="7"/>
        <v>-1.6080761554116521</v>
      </c>
      <c r="N36" s="4">
        <f t="shared" si="8"/>
        <v>1.0472679329490417</v>
      </c>
      <c r="O36" s="4">
        <f t="shared" si="9"/>
        <v>-0.32690134382555236</v>
      </c>
      <c r="P36" s="4">
        <f t="shared" si="14"/>
        <v>70.5</v>
      </c>
      <c r="Q36" s="20">
        <f t="shared" si="10"/>
        <v>7.321873339690449E-2</v>
      </c>
      <c r="R36" s="25">
        <f t="shared" si="15"/>
        <v>70.499999999933067</v>
      </c>
      <c r="S36" s="25">
        <f t="shared" si="11"/>
        <v>69.984891689680168</v>
      </c>
      <c r="U36" s="13"/>
      <c r="V36" s="13"/>
      <c r="W36" s="13"/>
    </row>
    <row r="37" spans="1:23">
      <c r="A37" s="19">
        <f t="shared" si="12"/>
        <v>36526.139997114857</v>
      </c>
      <c r="B37" s="4">
        <f t="shared" si="13"/>
        <v>43.280138487438137</v>
      </c>
      <c r="C37" s="4">
        <f t="shared" si="0"/>
        <v>42</v>
      </c>
      <c r="D37" s="26">
        <f t="shared" si="16"/>
        <v>70.499999999933067</v>
      </c>
      <c r="E37" s="26">
        <f t="shared" si="17"/>
        <v>69.984891689680168</v>
      </c>
      <c r="F37" s="4">
        <f t="shared" si="1"/>
        <v>-2</v>
      </c>
      <c r="G37" s="4">
        <f t="shared" si="2"/>
        <v>0</v>
      </c>
      <c r="H37" s="4">
        <f t="shared" si="3"/>
        <v>0</v>
      </c>
      <c r="I37" s="4">
        <v>0</v>
      </c>
      <c r="J37" s="4">
        <f t="shared" si="4"/>
        <v>24807.829139891641</v>
      </c>
      <c r="K37" s="4">
        <f t="shared" si="5"/>
        <v>-13.816149999188156</v>
      </c>
      <c r="L37" s="4">
        <f t="shared" si="6"/>
        <v>25.908716714281486</v>
      </c>
      <c r="M37" s="4">
        <f t="shared" si="7"/>
        <v>1.3111447982134443</v>
      </c>
      <c r="N37" s="4">
        <f t="shared" si="8"/>
        <v>1.0472679329490417</v>
      </c>
      <c r="O37" s="4">
        <f t="shared" si="9"/>
        <v>-0.32690134382555236</v>
      </c>
      <c r="P37" s="4">
        <f t="shared" si="14"/>
        <v>69.5</v>
      </c>
      <c r="Q37" s="20">
        <f t="shared" si="10"/>
        <v>9.9147461618232693E-2</v>
      </c>
      <c r="R37" s="25">
        <f t="shared" si="15"/>
        <v>69.500000003034685</v>
      </c>
      <c r="S37" s="25">
        <f t="shared" si="11"/>
        <v>69.974302172441</v>
      </c>
      <c r="U37" s="13"/>
      <c r="V37" s="13"/>
      <c r="W37" s="13"/>
    </row>
    <row r="38" spans="1:23">
      <c r="A38" s="19">
        <f t="shared" si="12"/>
        <v>36526.144128259089</v>
      </c>
      <c r="B38" s="4">
        <f t="shared" si="13"/>
        <v>43.081843564201669</v>
      </c>
      <c r="C38" s="4">
        <f t="shared" si="0"/>
        <v>42</v>
      </c>
      <c r="D38" s="26">
        <f t="shared" si="16"/>
        <v>69.500000003034685</v>
      </c>
      <c r="E38" s="26">
        <f t="shared" si="17"/>
        <v>69.974302172441</v>
      </c>
      <c r="F38" s="4">
        <f t="shared" si="1"/>
        <v>-2</v>
      </c>
      <c r="G38" s="4">
        <f t="shared" si="2"/>
        <v>1</v>
      </c>
      <c r="H38" s="4">
        <f t="shared" si="3"/>
        <v>36000</v>
      </c>
      <c r="I38" s="4">
        <v>0</v>
      </c>
      <c r="J38" s="4">
        <f t="shared" si="4"/>
        <v>60694.168076251881</v>
      </c>
      <c r="K38" s="4">
        <f t="shared" si="5"/>
        <v>17.137369834383037</v>
      </c>
      <c r="L38" s="4">
        <f t="shared" si="6"/>
        <v>-34.791212531898928</v>
      </c>
      <c r="M38" s="4">
        <f t="shared" si="7"/>
        <v>-1.5968111573926578</v>
      </c>
      <c r="N38" s="4">
        <f t="shared" si="8"/>
        <v>1.0472679329490417</v>
      </c>
      <c r="O38" s="4">
        <f t="shared" si="9"/>
        <v>-0.32690134382555236</v>
      </c>
      <c r="P38" s="4">
        <f t="shared" si="14"/>
        <v>70.5</v>
      </c>
      <c r="Q38" s="20">
        <f t="shared" si="10"/>
        <v>7.3935749846601576E-2</v>
      </c>
      <c r="R38" s="25">
        <f t="shared" si="15"/>
        <v>70.499999999924157</v>
      </c>
      <c r="S38" s="25">
        <f t="shared" si="11"/>
        <v>69.985764516750237</v>
      </c>
      <c r="U38" s="13"/>
      <c r="V38" s="13"/>
      <c r="W38" s="13"/>
    </row>
    <row r="39" spans="1:23">
      <c r="A39" s="19">
        <f t="shared" si="12"/>
        <v>36526.147208915332</v>
      </c>
      <c r="B39" s="4">
        <f t="shared" si="13"/>
        <v>42.933972064508467</v>
      </c>
      <c r="C39" s="4">
        <f t="shared" si="0"/>
        <v>42</v>
      </c>
      <c r="D39" s="26">
        <f t="shared" si="16"/>
        <v>70.499999999924157</v>
      </c>
      <c r="E39" s="26">
        <f t="shared" si="17"/>
        <v>69.985764516750237</v>
      </c>
      <c r="F39" s="4">
        <f t="shared" si="1"/>
        <v>-2</v>
      </c>
      <c r="G39" s="4">
        <f t="shared" si="2"/>
        <v>0</v>
      </c>
      <c r="H39" s="4">
        <f t="shared" si="3"/>
        <v>0</v>
      </c>
      <c r="I39" s="4">
        <v>0</v>
      </c>
      <c r="J39" s="4">
        <f t="shared" si="4"/>
        <v>24609.409315599736</v>
      </c>
      <c r="K39" s="4">
        <f t="shared" si="5"/>
        <v>-13.945703147105235</v>
      </c>
      <c r="L39" s="4">
        <f t="shared" si="6"/>
        <v>26.243611058535777</v>
      </c>
      <c r="M39" s="4">
        <f t="shared" si="7"/>
        <v>1.3224168768799132</v>
      </c>
      <c r="N39" s="4">
        <f t="shared" si="8"/>
        <v>1.0472679329490417</v>
      </c>
      <c r="O39" s="4">
        <f t="shared" si="9"/>
        <v>-0.32690134382555236</v>
      </c>
      <c r="P39" s="4">
        <f t="shared" si="14"/>
        <v>69.5</v>
      </c>
      <c r="Q39" s="20">
        <f t="shared" si="10"/>
        <v>9.7837777651315253E-2</v>
      </c>
      <c r="R39" s="25">
        <f t="shared" si="15"/>
        <v>69.500000002586802</v>
      </c>
      <c r="S39" s="25">
        <f t="shared" si="11"/>
        <v>69.975307122456869</v>
      </c>
      <c r="U39" s="13"/>
      <c r="V39" s="13"/>
      <c r="W39" s="13"/>
    </row>
    <row r="40" spans="1:23">
      <c r="A40" s="19">
        <f t="shared" si="12"/>
        <v>36526.151285489403</v>
      </c>
      <c r="B40" s="4">
        <f t="shared" si="13"/>
        <v>42.738296509205838</v>
      </c>
      <c r="C40" s="4">
        <f t="shared" si="0"/>
        <v>42</v>
      </c>
      <c r="D40" s="26">
        <f t="shared" si="16"/>
        <v>69.500000002586802</v>
      </c>
      <c r="E40" s="26">
        <f t="shared" si="17"/>
        <v>69.975307122456869</v>
      </c>
      <c r="F40" s="4">
        <f t="shared" si="1"/>
        <v>-2</v>
      </c>
      <c r="G40" s="4">
        <f t="shared" si="2"/>
        <v>1</v>
      </c>
      <c r="H40" s="4">
        <f t="shared" si="3"/>
        <v>36000</v>
      </c>
      <c r="I40" s="4">
        <v>0</v>
      </c>
      <c r="J40" s="4">
        <f t="shared" si="4"/>
        <v>60497.249652704711</v>
      </c>
      <c r="K40" s="4">
        <f t="shared" si="5"/>
        <v>17.009659452479525</v>
      </c>
      <c r="L40" s="4">
        <f t="shared" si="6"/>
        <v>-34.458751308574932</v>
      </c>
      <c r="M40" s="4">
        <f t="shared" si="7"/>
        <v>-1.5857253261687134</v>
      </c>
      <c r="N40" s="4">
        <f t="shared" si="8"/>
        <v>1.0472679329490417</v>
      </c>
      <c r="O40" s="4">
        <f t="shared" si="9"/>
        <v>-0.32690134382555236</v>
      </c>
      <c r="P40" s="4">
        <f t="shared" si="14"/>
        <v>70.5</v>
      </c>
      <c r="Q40" s="20">
        <f t="shared" si="10"/>
        <v>7.4658442874315681E-2</v>
      </c>
      <c r="R40" s="25">
        <f t="shared" si="15"/>
        <v>70.499999999914053</v>
      </c>
      <c r="S40" s="25">
        <f t="shared" si="11"/>
        <v>69.986800133311021</v>
      </c>
      <c r="U40" s="13"/>
      <c r="V40" s="13"/>
      <c r="W40" s="13"/>
    </row>
    <row r="41" spans="1:23">
      <c r="A41" s="19">
        <f t="shared" si="12"/>
        <v>36526.154396257858</v>
      </c>
      <c r="B41" s="4">
        <f t="shared" si="13"/>
        <v>42.588979623457206</v>
      </c>
      <c r="C41" s="4">
        <f t="shared" ref="C41:C73" si="18">VLOOKUP(A41,weather,3)</f>
        <v>42</v>
      </c>
      <c r="D41" s="26">
        <f t="shared" si="16"/>
        <v>70.499999999914053</v>
      </c>
      <c r="E41" s="26">
        <f t="shared" si="17"/>
        <v>69.986800133311021</v>
      </c>
      <c r="F41" s="4">
        <f t="shared" ref="F41:F73" si="19">C41-VLOOKUP(A41,weather,2)</f>
        <v>-2</v>
      </c>
      <c r="G41" s="4">
        <f t="shared" ref="G41:G73" si="20">IF(ABS(D41-(TH-DB))&lt;0.001,1,IF(ABS(D41-(TC+DB))&lt;0.001,-1,0))</f>
        <v>0</v>
      </c>
      <c r="H41" s="4">
        <f t="shared" ref="H41:H72" si="21">G41*QH</f>
        <v>0</v>
      </c>
      <c r="I41" s="4">
        <v>0</v>
      </c>
      <c r="J41" s="4">
        <f t="shared" ref="J41:J72" si="22">I41+H41+UA*B41</f>
        <v>24411.662408328684</v>
      </c>
      <c r="K41" s="4">
        <f t="shared" ref="K41:K73" si="23">HM/CA*E41+UA/CA*B41+H41/CA-(UA+HM)/CA*D41</f>
        <v>-14.07378647382177</v>
      </c>
      <c r="L41" s="4">
        <f t="shared" ref="L41:L72" si="24">(q*D41-K41-J41/c_*q)/(q-p)</f>
        <v>26.577490266834591</v>
      </c>
      <c r="M41" s="4">
        <f t="shared" ref="M41:M72" si="25">D41-J41/c_-L41</f>
        <v>1.3335301096222558</v>
      </c>
      <c r="N41" s="4">
        <f t="shared" ref="N41:N73" si="26">CA/HM*p+(UA+HM)/HM</f>
        <v>1.0472679329490417</v>
      </c>
      <c r="O41" s="4">
        <f t="shared" ref="O41:O73" si="27">CA/HM*q+(UA+HM)/HM</f>
        <v>-0.32690134382555236</v>
      </c>
      <c r="P41" s="4">
        <f t="shared" ref="P41:P73" si="28">IF(G41=0,IF(K41&gt;0,TC+DB,TH-DB),IF(G41&gt;0,TH+DB,TC-DB))</f>
        <v>69.5</v>
      </c>
      <c r="Q41" s="20">
        <f t="shared" ref="Q41:Q72" si="29">etpsolver(0,L41,p,M41,q,J41/_c-P41,0.00000001,100)</f>
        <v>9.6576599711836672E-2</v>
      </c>
      <c r="R41" s="25">
        <f t="shared" ref="R41:R72" si="30">etp(Q41,L41,p,M41,q,+(H41+I41)/UA)+B41</f>
        <v>69.500000002211323</v>
      </c>
      <c r="S41" s="25">
        <f t="shared" ref="S41:S73" si="31">L41*N41*EXP(p*Q41)+M41*O41*EXP(q*Q41)+I41/HM+I41/UA+H41/UA+B41</f>
        <v>69.976434409214221</v>
      </c>
      <c r="U41" s="13"/>
      <c r="V41" s="13"/>
      <c r="W41" s="13"/>
    </row>
    <row r="42" spans="1:23">
      <c r="A42" s="19">
        <f t="shared" ref="A42:A73" si="32">A41+Q41/24</f>
        <v>36526.158420282845</v>
      </c>
      <c r="B42" s="4">
        <f t="shared" ref="B42:B73" si="33">B41+Q41*F41</f>
        <v>42.39582642403353</v>
      </c>
      <c r="C42" s="4">
        <f t="shared" si="18"/>
        <v>42</v>
      </c>
      <c r="D42" s="26">
        <f t="shared" si="16"/>
        <v>69.500000002211323</v>
      </c>
      <c r="E42" s="26">
        <f t="shared" si="17"/>
        <v>69.976434409214221</v>
      </c>
      <c r="F42" s="4">
        <f t="shared" si="19"/>
        <v>-2</v>
      </c>
      <c r="G42" s="4">
        <f t="shared" si="20"/>
        <v>1</v>
      </c>
      <c r="H42" s="4">
        <f t="shared" si="21"/>
        <v>36000</v>
      </c>
      <c r="I42" s="4">
        <v>0</v>
      </c>
      <c r="J42" s="4">
        <f t="shared" si="22"/>
        <v>60300.948539644625</v>
      </c>
      <c r="K42" s="4">
        <f t="shared" si="23"/>
        <v>16.883129570900678</v>
      </c>
      <c r="L42" s="4">
        <f t="shared" si="24"/>
        <v>-34.127240984068862</v>
      </c>
      <c r="M42" s="4">
        <f t="shared" si="25"/>
        <v>-1.5747655658779536</v>
      </c>
      <c r="N42" s="4">
        <f t="shared" si="26"/>
        <v>1.0472679329490417</v>
      </c>
      <c r="O42" s="4">
        <f t="shared" si="27"/>
        <v>-0.32690134382555236</v>
      </c>
      <c r="P42" s="4">
        <f t="shared" si="28"/>
        <v>70.5</v>
      </c>
      <c r="Q42" s="20">
        <f t="shared" si="29"/>
        <v>7.5389239861802862E-2</v>
      </c>
      <c r="R42" s="25">
        <f t="shared" si="30"/>
        <v>70.499999999902585</v>
      </c>
      <c r="S42" s="25">
        <f t="shared" si="31"/>
        <v>69.987940552485355</v>
      </c>
      <c r="U42" s="13"/>
      <c r="V42" s="13"/>
      <c r="W42" s="13"/>
    </row>
    <row r="43" spans="1:23">
      <c r="A43" s="19">
        <f t="shared" si="32"/>
        <v>36526.161561501176</v>
      </c>
      <c r="B43" s="4">
        <f t="shared" si="33"/>
        <v>42.245047944309924</v>
      </c>
      <c r="C43" s="4">
        <f t="shared" si="18"/>
        <v>42</v>
      </c>
      <c r="D43" s="26">
        <f t="shared" si="16"/>
        <v>70.499999999902585</v>
      </c>
      <c r="E43" s="26">
        <f t="shared" si="17"/>
        <v>69.987940552485355</v>
      </c>
      <c r="F43" s="4">
        <f t="shared" si="19"/>
        <v>-2</v>
      </c>
      <c r="G43" s="4">
        <f t="shared" si="20"/>
        <v>0</v>
      </c>
      <c r="H43" s="4">
        <f t="shared" si="21"/>
        <v>0</v>
      </c>
      <c r="I43" s="4">
        <v>0</v>
      </c>
      <c r="J43" s="4">
        <f t="shared" si="22"/>
        <v>24214.523521294894</v>
      </c>
      <c r="K43" s="4">
        <f t="shared" si="23"/>
        <v>-14.200804628462379</v>
      </c>
      <c r="L43" s="4">
        <f t="shared" si="24"/>
        <v>26.910421466904165</v>
      </c>
      <c r="M43" s="4">
        <f t="shared" si="25"/>
        <v>1.344530588688496</v>
      </c>
      <c r="N43" s="4">
        <f t="shared" si="26"/>
        <v>1.0472679329490417</v>
      </c>
      <c r="O43" s="4">
        <f t="shared" si="27"/>
        <v>-0.32690134382555236</v>
      </c>
      <c r="P43" s="4">
        <f t="shared" si="28"/>
        <v>69.5</v>
      </c>
      <c r="Q43" s="20">
        <f t="shared" si="29"/>
        <v>9.5358028328388841E-2</v>
      </c>
      <c r="R43" s="25">
        <f t="shared" si="30"/>
        <v>69.500000001895117</v>
      </c>
      <c r="S43" s="25">
        <f t="shared" si="31"/>
        <v>69.977639073629604</v>
      </c>
      <c r="U43" s="13"/>
      <c r="V43" s="13"/>
      <c r="W43" s="13"/>
    </row>
    <row r="44" spans="1:23">
      <c r="A44" s="19">
        <f t="shared" si="32"/>
        <v>36526.165534752356</v>
      </c>
      <c r="B44" s="4">
        <f t="shared" si="33"/>
        <v>42.054331887653149</v>
      </c>
      <c r="C44" s="4">
        <f t="shared" si="18"/>
        <v>42</v>
      </c>
      <c r="D44" s="26">
        <f t="shared" si="16"/>
        <v>69.500000001895117</v>
      </c>
      <c r="E44" s="26">
        <f t="shared" si="17"/>
        <v>69.977639073629604</v>
      </c>
      <c r="F44" s="4">
        <f t="shared" si="19"/>
        <v>-2</v>
      </c>
      <c r="G44" s="4">
        <f t="shared" si="20"/>
        <v>1</v>
      </c>
      <c r="H44" s="4">
        <f t="shared" si="21"/>
        <v>36000</v>
      </c>
      <c r="I44" s="4">
        <v>0</v>
      </c>
      <c r="J44" s="4">
        <f t="shared" si="22"/>
        <v>60105.206603347688</v>
      </c>
      <c r="K44" s="4">
        <f t="shared" si="23"/>
        <v>16.757461134501398</v>
      </c>
      <c r="L44" s="4">
        <f t="shared" si="24"/>
        <v>-33.796616343259977</v>
      </c>
      <c r="M44" s="4">
        <f t="shared" si="25"/>
        <v>-1.5638956706226637</v>
      </c>
      <c r="N44" s="4">
        <f t="shared" si="26"/>
        <v>1.0472679329490417</v>
      </c>
      <c r="O44" s="4">
        <f t="shared" si="27"/>
        <v>-0.32690134382555236</v>
      </c>
      <c r="P44" s="4">
        <f t="shared" si="28"/>
        <v>70.5</v>
      </c>
      <c r="Q44" s="20">
        <f t="shared" si="29"/>
        <v>7.6129965556308812E-2</v>
      </c>
      <c r="R44" s="25">
        <f t="shared" si="30"/>
        <v>70.499999999889553</v>
      </c>
      <c r="S44" s="25">
        <f t="shared" si="31"/>
        <v>69.989147459821226</v>
      </c>
      <c r="U44" s="13"/>
      <c r="V44" s="13"/>
      <c r="W44" s="13"/>
    </row>
    <row r="45" spans="1:23">
      <c r="A45" s="19">
        <f t="shared" si="32"/>
        <v>36526.168706834251</v>
      </c>
      <c r="B45" s="4">
        <f t="shared" si="33"/>
        <v>41.902071956540532</v>
      </c>
      <c r="C45" s="4">
        <f t="shared" si="18"/>
        <v>41</v>
      </c>
      <c r="D45" s="26">
        <f t="shared" si="16"/>
        <v>70.499999999889553</v>
      </c>
      <c r="E45" s="26">
        <f t="shared" si="17"/>
        <v>69.989147459821226</v>
      </c>
      <c r="F45" s="4">
        <f t="shared" si="19"/>
        <v>-1</v>
      </c>
      <c r="G45" s="4">
        <f t="shared" si="20"/>
        <v>0</v>
      </c>
      <c r="H45" s="4">
        <f t="shared" si="21"/>
        <v>0</v>
      </c>
      <c r="I45" s="4">
        <v>0</v>
      </c>
      <c r="J45" s="4">
        <f t="shared" si="22"/>
        <v>24017.93242891338</v>
      </c>
      <c r="K45" s="4">
        <f t="shared" si="23"/>
        <v>-14.327036779935099</v>
      </c>
      <c r="L45" s="4">
        <f t="shared" si="24"/>
        <v>27.2424782332101</v>
      </c>
      <c r="M45" s="4">
        <f t="shared" si="25"/>
        <v>1.3554498101389214</v>
      </c>
      <c r="N45" s="4">
        <f t="shared" si="26"/>
        <v>1.0472679329490417</v>
      </c>
      <c r="O45" s="4">
        <f t="shared" si="27"/>
        <v>-0.32690134382555236</v>
      </c>
      <c r="P45" s="4">
        <f t="shared" si="28"/>
        <v>69.5</v>
      </c>
      <c r="Q45" s="20">
        <f t="shared" si="29"/>
        <v>9.4177698893471565E-2</v>
      </c>
      <c r="R45" s="25">
        <f t="shared" si="30"/>
        <v>69.500000001627768</v>
      </c>
      <c r="S45" s="25">
        <f t="shared" si="31"/>
        <v>69.978891392407093</v>
      </c>
      <c r="U45" s="13"/>
      <c r="V45" s="13"/>
      <c r="W45" s="13"/>
    </row>
    <row r="46" spans="1:23">
      <c r="A46" s="19">
        <f t="shared" si="32"/>
        <v>36526.172630905035</v>
      </c>
      <c r="B46" s="4">
        <f t="shared" si="33"/>
        <v>41.807894257647057</v>
      </c>
      <c r="C46" s="4">
        <f t="shared" si="18"/>
        <v>41</v>
      </c>
      <c r="D46" s="26">
        <f t="shared" si="16"/>
        <v>69.500000001627768</v>
      </c>
      <c r="E46" s="26">
        <f t="shared" si="17"/>
        <v>69.978891392407093</v>
      </c>
      <c r="F46" s="4">
        <f t="shared" si="19"/>
        <v>-1</v>
      </c>
      <c r="G46" s="4">
        <f t="shared" si="20"/>
        <v>1</v>
      </c>
      <c r="H46" s="4">
        <f t="shared" si="21"/>
        <v>36000</v>
      </c>
      <c r="I46" s="4">
        <v>0</v>
      </c>
      <c r="J46" s="4">
        <f t="shared" si="22"/>
        <v>59963.95052532923</v>
      </c>
      <c r="K46" s="4">
        <f t="shared" si="23"/>
        <v>16.669154172392609</v>
      </c>
      <c r="L46" s="4">
        <f t="shared" si="24"/>
        <v>-33.557744213994482</v>
      </c>
      <c r="M46" s="4">
        <f t="shared" si="25"/>
        <v>-1.5563301701494083</v>
      </c>
      <c r="N46" s="4">
        <f t="shared" si="26"/>
        <v>1.0472679329490417</v>
      </c>
      <c r="O46" s="4">
        <f t="shared" si="27"/>
        <v>-0.32690134382555236</v>
      </c>
      <c r="P46" s="4">
        <f t="shared" si="28"/>
        <v>70.5</v>
      </c>
      <c r="Q46" s="20">
        <f t="shared" si="29"/>
        <v>7.6660717885934745E-2</v>
      </c>
      <c r="R46" s="25">
        <f t="shared" si="30"/>
        <v>70.499999999879165</v>
      </c>
      <c r="S46" s="25">
        <f t="shared" si="31"/>
        <v>69.990341909708462</v>
      </c>
      <c r="U46" s="13"/>
      <c r="V46" s="13"/>
      <c r="W46" s="13"/>
    </row>
    <row r="47" spans="1:23">
      <c r="A47" s="19">
        <f t="shared" si="32"/>
        <v>36526.175825101614</v>
      </c>
      <c r="B47" s="4">
        <f t="shared" si="33"/>
        <v>41.731233539761121</v>
      </c>
      <c r="C47" s="4">
        <f t="shared" si="18"/>
        <v>41</v>
      </c>
      <c r="D47" s="26">
        <f t="shared" si="16"/>
        <v>70.499999999879165</v>
      </c>
      <c r="E47" s="26">
        <f t="shared" si="17"/>
        <v>69.990341909708462</v>
      </c>
      <c r="F47" s="4">
        <f t="shared" si="19"/>
        <v>-1</v>
      </c>
      <c r="G47" s="4">
        <f t="shared" si="20"/>
        <v>0</v>
      </c>
      <c r="H47" s="4">
        <f t="shared" si="21"/>
        <v>0</v>
      </c>
      <c r="I47" s="4">
        <v>0</v>
      </c>
      <c r="J47" s="4">
        <f t="shared" si="22"/>
        <v>23920.009215122758</v>
      </c>
      <c r="K47" s="4">
        <f t="shared" si="23"/>
        <v>-14.386225372946228</v>
      </c>
      <c r="L47" s="4">
        <f t="shared" si="24"/>
        <v>27.408309458326933</v>
      </c>
      <c r="M47" s="4">
        <f t="shared" si="25"/>
        <v>1.3604570017911115</v>
      </c>
      <c r="N47" s="4">
        <f t="shared" si="26"/>
        <v>1.0472679329490417</v>
      </c>
      <c r="O47" s="4">
        <f t="shared" si="27"/>
        <v>-0.32690134382555236</v>
      </c>
      <c r="P47" s="4">
        <f t="shared" si="28"/>
        <v>69.5</v>
      </c>
      <c r="Q47" s="20">
        <f t="shared" si="29"/>
        <v>9.3631009006463636E-2</v>
      </c>
      <c r="R47" s="25">
        <f t="shared" si="30"/>
        <v>69.500000001513513</v>
      </c>
      <c r="S47" s="25">
        <f t="shared" si="31"/>
        <v>69.979993716124341</v>
      </c>
      <c r="U47" s="13"/>
      <c r="V47" s="13"/>
      <c r="W47" s="13"/>
    </row>
    <row r="48" spans="1:23">
      <c r="A48" s="19">
        <f t="shared" si="32"/>
        <v>36526.179726393653</v>
      </c>
      <c r="B48" s="4">
        <f t="shared" si="33"/>
        <v>41.637602530754656</v>
      </c>
      <c r="C48" s="4">
        <f t="shared" si="18"/>
        <v>41</v>
      </c>
      <c r="D48" s="26">
        <f t="shared" si="16"/>
        <v>69.500000001513513</v>
      </c>
      <c r="E48" s="26">
        <f t="shared" si="17"/>
        <v>69.979993716124341</v>
      </c>
      <c r="F48" s="4">
        <f t="shared" si="19"/>
        <v>-1</v>
      </c>
      <c r="G48" s="4">
        <f t="shared" si="20"/>
        <v>1</v>
      </c>
      <c r="H48" s="4">
        <f t="shared" si="21"/>
        <v>36000</v>
      </c>
      <c r="I48" s="4">
        <v>0</v>
      </c>
      <c r="J48" s="4">
        <f t="shared" si="22"/>
        <v>59866.340669808327</v>
      </c>
      <c r="K48" s="4">
        <f t="shared" si="23"/>
        <v>16.609606004946841</v>
      </c>
      <c r="L48" s="4">
        <f t="shared" si="24"/>
        <v>-33.392507915400529</v>
      </c>
      <c r="M48" s="4">
        <f t="shared" si="25"/>
        <v>-1.55127474196523</v>
      </c>
      <c r="N48" s="4">
        <f t="shared" si="26"/>
        <v>1.0472679329490417</v>
      </c>
      <c r="O48" s="4">
        <f t="shared" si="27"/>
        <v>-0.32690134382555236</v>
      </c>
      <c r="P48" s="4">
        <f t="shared" si="28"/>
        <v>70.5</v>
      </c>
      <c r="Q48" s="20">
        <f t="shared" si="29"/>
        <v>7.7023745593209472E-2</v>
      </c>
      <c r="R48" s="25">
        <f t="shared" si="30"/>
        <v>70.499999999871477</v>
      </c>
      <c r="S48" s="25">
        <f t="shared" si="31"/>
        <v>69.991366697701949</v>
      </c>
      <c r="U48" s="13"/>
      <c r="V48" s="13"/>
      <c r="W48" s="13"/>
    </row>
    <row r="49" spans="1:23">
      <c r="A49" s="19">
        <f t="shared" si="32"/>
        <v>36526.182935716388</v>
      </c>
      <c r="B49" s="4">
        <f t="shared" si="33"/>
        <v>41.560578785161447</v>
      </c>
      <c r="C49" s="4">
        <f t="shared" si="18"/>
        <v>41</v>
      </c>
      <c r="D49" s="26">
        <f t="shared" si="16"/>
        <v>70.499999999871477</v>
      </c>
      <c r="E49" s="26">
        <f t="shared" si="17"/>
        <v>69.991366697701949</v>
      </c>
      <c r="F49" s="4">
        <f t="shared" si="19"/>
        <v>-1</v>
      </c>
      <c r="G49" s="4">
        <f t="shared" si="20"/>
        <v>0</v>
      </c>
      <c r="H49" s="4">
        <f t="shared" si="21"/>
        <v>0</v>
      </c>
      <c r="I49" s="4">
        <v>0</v>
      </c>
      <c r="J49" s="4">
        <f t="shared" si="22"/>
        <v>23822.191275024259</v>
      </c>
      <c r="K49" s="4">
        <f t="shared" si="23"/>
        <v>-14.446397131132869</v>
      </c>
      <c r="L49" s="4">
        <f t="shared" si="24"/>
        <v>27.573839873716079</v>
      </c>
      <c r="M49" s="4">
        <f t="shared" si="25"/>
        <v>1.3655813409939519</v>
      </c>
      <c r="N49" s="4">
        <f t="shared" si="26"/>
        <v>1.0472679329490417</v>
      </c>
      <c r="O49" s="4">
        <f t="shared" si="27"/>
        <v>-0.32690134382555236</v>
      </c>
      <c r="P49" s="4">
        <f t="shared" si="28"/>
        <v>69.5</v>
      </c>
      <c r="Q49" s="20">
        <f t="shared" si="29"/>
        <v>9.3083036857055226E-2</v>
      </c>
      <c r="R49" s="25">
        <f t="shared" si="30"/>
        <v>69.500000001406931</v>
      </c>
      <c r="S49" s="25">
        <f t="shared" si="31"/>
        <v>69.98095850754315</v>
      </c>
      <c r="U49" s="13"/>
      <c r="V49" s="13"/>
      <c r="W49" s="13"/>
    </row>
    <row r="50" spans="1:23">
      <c r="A50" s="19">
        <f t="shared" si="32"/>
        <v>36526.186814176253</v>
      </c>
      <c r="B50" s="4">
        <f t="shared" si="33"/>
        <v>41.467495748304394</v>
      </c>
      <c r="C50" s="4">
        <f t="shared" si="18"/>
        <v>41</v>
      </c>
      <c r="D50" s="26">
        <f t="shared" si="16"/>
        <v>69.500000001406931</v>
      </c>
      <c r="E50" s="26">
        <f t="shared" si="17"/>
        <v>69.98095850754315</v>
      </c>
      <c r="F50" s="4">
        <f t="shared" si="19"/>
        <v>-1</v>
      </c>
      <c r="G50" s="4">
        <f t="shared" si="20"/>
        <v>1</v>
      </c>
      <c r="H50" s="4">
        <f t="shared" si="21"/>
        <v>36000</v>
      </c>
      <c r="I50" s="4">
        <v>0</v>
      </c>
      <c r="J50" s="4">
        <f t="shared" si="22"/>
        <v>59768.836822962097</v>
      </c>
      <c r="K50" s="4">
        <f t="shared" si="23"/>
        <v>16.549274920444873</v>
      </c>
      <c r="L50" s="4">
        <f t="shared" si="24"/>
        <v>-33.227550283584506</v>
      </c>
      <c r="M50" s="4">
        <f t="shared" si="25"/>
        <v>-1.5461255914375727</v>
      </c>
      <c r="N50" s="4">
        <f t="shared" si="26"/>
        <v>1.0472679329490417</v>
      </c>
      <c r="O50" s="4">
        <f t="shared" si="27"/>
        <v>-0.32690134382555236</v>
      </c>
      <c r="P50" s="4">
        <f t="shared" si="28"/>
        <v>70.5</v>
      </c>
      <c r="Q50" s="20">
        <f t="shared" si="29"/>
        <v>7.7394688592099511E-2</v>
      </c>
      <c r="R50" s="25">
        <f t="shared" si="30"/>
        <v>70.499999999863221</v>
      </c>
      <c r="S50" s="25">
        <f t="shared" si="31"/>
        <v>69.992275475619138</v>
      </c>
      <c r="U50" s="13"/>
      <c r="V50" s="13"/>
      <c r="W50" s="13"/>
    </row>
    <row r="51" spans="1:23">
      <c r="A51" s="19">
        <f t="shared" si="32"/>
        <v>36526.190038954948</v>
      </c>
      <c r="B51" s="4">
        <f t="shared" si="33"/>
        <v>41.390101059712293</v>
      </c>
      <c r="C51" s="4">
        <f t="shared" si="18"/>
        <v>41</v>
      </c>
      <c r="D51" s="26">
        <f t="shared" si="16"/>
        <v>70.499999999863221</v>
      </c>
      <c r="E51" s="26">
        <f t="shared" si="17"/>
        <v>69.992275475619138</v>
      </c>
      <c r="F51" s="4">
        <f t="shared" si="19"/>
        <v>-1</v>
      </c>
      <c r="G51" s="4">
        <f t="shared" si="20"/>
        <v>0</v>
      </c>
      <c r="H51" s="4">
        <f t="shared" si="21"/>
        <v>0</v>
      </c>
      <c r="I51" s="4">
        <v>0</v>
      </c>
      <c r="J51" s="4">
        <f t="shared" si="22"/>
        <v>23724.474806618608</v>
      </c>
      <c r="K51" s="4">
        <f t="shared" si="23"/>
        <v>-14.507221090073358</v>
      </c>
      <c r="L51" s="4">
        <f t="shared" si="24"/>
        <v>27.739114927338576</v>
      </c>
      <c r="M51" s="4">
        <f t="shared" si="25"/>
        <v>1.3707840128123507</v>
      </c>
      <c r="N51" s="4">
        <f t="shared" si="26"/>
        <v>1.0472679329490417</v>
      </c>
      <c r="O51" s="4">
        <f t="shared" si="27"/>
        <v>-0.32690134382555236</v>
      </c>
      <c r="P51" s="4">
        <f t="shared" si="28"/>
        <v>69.5</v>
      </c>
      <c r="Q51" s="20">
        <f t="shared" si="29"/>
        <v>9.2536558239028927E-2</v>
      </c>
      <c r="R51" s="25">
        <f t="shared" si="30"/>
        <v>69.500000001307797</v>
      </c>
      <c r="S51" s="25">
        <f t="shared" si="31"/>
        <v>69.981828812575912</v>
      </c>
      <c r="U51" s="13"/>
      <c r="V51" s="13"/>
      <c r="W51" s="13"/>
    </row>
    <row r="52" spans="1:23">
      <c r="A52" s="19">
        <f t="shared" si="32"/>
        <v>36526.193894644872</v>
      </c>
      <c r="B52" s="4">
        <f t="shared" si="33"/>
        <v>41.297564501473268</v>
      </c>
      <c r="C52" s="4">
        <f t="shared" si="18"/>
        <v>41</v>
      </c>
      <c r="D52" s="26">
        <f t="shared" si="16"/>
        <v>69.500000001307797</v>
      </c>
      <c r="E52" s="26">
        <f t="shared" si="17"/>
        <v>69.981828812575912</v>
      </c>
      <c r="F52" s="4">
        <f t="shared" si="19"/>
        <v>-1</v>
      </c>
      <c r="G52" s="4">
        <f t="shared" si="20"/>
        <v>1</v>
      </c>
      <c r="H52" s="4">
        <f t="shared" si="21"/>
        <v>36000</v>
      </c>
      <c r="I52" s="4">
        <v>0</v>
      </c>
      <c r="J52" s="4">
        <f t="shared" si="22"/>
        <v>59671.433591728462</v>
      </c>
      <c r="K52" s="4">
        <f t="shared" si="23"/>
        <v>16.488424864525996</v>
      </c>
      <c r="L52" s="4">
        <f t="shared" si="24"/>
        <v>-33.062830908319583</v>
      </c>
      <c r="M52" s="4">
        <f t="shared" si="25"/>
        <v>-1.5409137199704901</v>
      </c>
      <c r="N52" s="4">
        <f t="shared" si="26"/>
        <v>1.0472679329490417</v>
      </c>
      <c r="O52" s="4">
        <f t="shared" si="27"/>
        <v>-0.32690134382555236</v>
      </c>
      <c r="P52" s="4">
        <f t="shared" si="28"/>
        <v>70.5</v>
      </c>
      <c r="Q52" s="20">
        <f t="shared" si="29"/>
        <v>7.7772230353850599E-2</v>
      </c>
      <c r="R52" s="25">
        <f t="shared" si="30"/>
        <v>70.499999999854367</v>
      </c>
      <c r="S52" s="25">
        <f t="shared" si="31"/>
        <v>69.993104697265949</v>
      </c>
      <c r="U52" s="13"/>
      <c r="V52" s="13"/>
      <c r="W52" s="13"/>
    </row>
    <row r="53" spans="1:23">
      <c r="A53" s="19">
        <f t="shared" si="32"/>
        <v>36526.197135154471</v>
      </c>
      <c r="B53" s="4">
        <f t="shared" si="33"/>
        <v>41.219792271119417</v>
      </c>
      <c r="C53" s="4">
        <f t="shared" si="18"/>
        <v>41</v>
      </c>
      <c r="D53" s="26">
        <f t="shared" si="16"/>
        <v>70.499999999854367</v>
      </c>
      <c r="E53" s="26">
        <f t="shared" si="17"/>
        <v>69.993104697265949</v>
      </c>
      <c r="F53" s="4">
        <f t="shared" si="19"/>
        <v>-1</v>
      </c>
      <c r="G53" s="4">
        <f t="shared" si="20"/>
        <v>0</v>
      </c>
      <c r="H53" s="4">
        <f t="shared" si="21"/>
        <v>0</v>
      </c>
      <c r="I53" s="4">
        <v>0</v>
      </c>
      <c r="J53" s="4">
        <f t="shared" si="22"/>
        <v>23626.85517146748</v>
      </c>
      <c r="K53" s="4">
        <f t="shared" si="23"/>
        <v>-14.568473773592189</v>
      </c>
      <c r="L53" s="4">
        <f t="shared" si="24"/>
        <v>27.904168961020272</v>
      </c>
      <c r="M53" s="4">
        <f t="shared" si="25"/>
        <v>1.3760387677146788</v>
      </c>
      <c r="N53" s="4">
        <f t="shared" si="26"/>
        <v>1.0472679329490417</v>
      </c>
      <c r="O53" s="4">
        <f t="shared" si="27"/>
        <v>-0.32690134382555236</v>
      </c>
      <c r="P53" s="4">
        <f t="shared" si="28"/>
        <v>69.5</v>
      </c>
      <c r="Q53" s="20">
        <f t="shared" si="29"/>
        <v>9.1993379187679178E-2</v>
      </c>
      <c r="R53" s="25">
        <f t="shared" si="30"/>
        <v>69.500000001215795</v>
      </c>
      <c r="S53" s="25">
        <f t="shared" si="31"/>
        <v>69.982633925038357</v>
      </c>
      <c r="U53" s="13"/>
      <c r="V53" s="13"/>
      <c r="W53" s="13"/>
    </row>
    <row r="54" spans="1:23">
      <c r="A54" s="19">
        <f t="shared" si="32"/>
        <v>36526.200968211939</v>
      </c>
      <c r="B54" s="4">
        <f t="shared" si="33"/>
        <v>41.127798891931739</v>
      </c>
      <c r="C54" s="4">
        <f t="shared" si="18"/>
        <v>41</v>
      </c>
      <c r="D54" s="26">
        <f t="shared" si="16"/>
        <v>69.500000001215795</v>
      </c>
      <c r="E54" s="26">
        <f t="shared" si="17"/>
        <v>69.982633925038357</v>
      </c>
      <c r="F54" s="4">
        <f t="shared" si="19"/>
        <v>-1</v>
      </c>
      <c r="G54" s="4">
        <f t="shared" si="20"/>
        <v>1</v>
      </c>
      <c r="H54" s="4">
        <f t="shared" si="21"/>
        <v>36000</v>
      </c>
      <c r="I54" s="4">
        <v>0</v>
      </c>
      <c r="J54" s="4">
        <f t="shared" si="22"/>
        <v>59574.125302464134</v>
      </c>
      <c r="K54" s="4">
        <f t="shared" si="23"/>
        <v>16.427234095828339</v>
      </c>
      <c r="L54" s="4">
        <f t="shared" si="24"/>
        <v>-32.898318914281269</v>
      </c>
      <c r="M54" s="4">
        <f t="shared" si="25"/>
        <v>-1.5356601045592768</v>
      </c>
      <c r="N54" s="4">
        <f t="shared" si="26"/>
        <v>1.0472679329490417</v>
      </c>
      <c r="O54" s="4">
        <f t="shared" si="27"/>
        <v>-0.32690134382555236</v>
      </c>
      <c r="P54" s="4">
        <f t="shared" si="28"/>
        <v>70.5</v>
      </c>
      <c r="Q54" s="20">
        <f t="shared" si="29"/>
        <v>7.8155492942952168E-2</v>
      </c>
      <c r="R54" s="25">
        <f t="shared" si="30"/>
        <v>70.499999999844874</v>
      </c>
      <c r="S54" s="25">
        <f t="shared" si="31"/>
        <v>69.993879160746872</v>
      </c>
      <c r="U54" s="13"/>
      <c r="V54" s="13"/>
      <c r="W54" s="13"/>
    </row>
    <row r="55" spans="1:23">
      <c r="A55" s="19">
        <f t="shared" si="32"/>
        <v>36526.204224690809</v>
      </c>
      <c r="B55" s="4">
        <f t="shared" si="33"/>
        <v>41.049643398988785</v>
      </c>
      <c r="C55" s="4">
        <f t="shared" si="18"/>
        <v>41</v>
      </c>
      <c r="D55" s="26">
        <f t="shared" si="16"/>
        <v>70.499999999844874</v>
      </c>
      <c r="E55" s="26">
        <f t="shared" si="17"/>
        <v>69.993879160746872</v>
      </c>
      <c r="F55" s="4">
        <f t="shared" si="19"/>
        <v>-1</v>
      </c>
      <c r="G55" s="4">
        <f t="shared" si="20"/>
        <v>0</v>
      </c>
      <c r="H55" s="4">
        <f t="shared" si="21"/>
        <v>0</v>
      </c>
      <c r="I55" s="4">
        <v>0</v>
      </c>
      <c r="J55" s="4">
        <f t="shared" si="22"/>
        <v>23529.32719915318</v>
      </c>
      <c r="K55" s="4">
        <f t="shared" si="23"/>
        <v>-14.630004530345218</v>
      </c>
      <c r="L55" s="4">
        <f t="shared" si="24"/>
        <v>28.069028730764295</v>
      </c>
      <c r="M55" s="4">
        <f t="shared" si="25"/>
        <v>1.3813278700917948</v>
      </c>
      <c r="N55" s="4">
        <f t="shared" si="26"/>
        <v>1.0472679329490417</v>
      </c>
      <c r="O55" s="4">
        <f t="shared" si="27"/>
        <v>-0.32690134382555236</v>
      </c>
      <c r="P55" s="4">
        <f t="shared" si="28"/>
        <v>69.5</v>
      </c>
      <c r="Q55" s="20">
        <f t="shared" si="29"/>
        <v>9.1454657307188866E-2</v>
      </c>
      <c r="R55" s="25">
        <f t="shared" si="30"/>
        <v>69.500000001130473</v>
      </c>
      <c r="S55" s="25">
        <f t="shared" si="31"/>
        <v>69.983393808694615</v>
      </c>
      <c r="U55" s="13"/>
      <c r="V55" s="13"/>
      <c r="W55" s="13"/>
    </row>
    <row r="56" spans="1:23">
      <c r="A56" s="19">
        <f t="shared" si="32"/>
        <v>36526.208035301534</v>
      </c>
      <c r="B56" s="4">
        <f t="shared" si="33"/>
        <v>40.958188741681596</v>
      </c>
      <c r="C56" s="4">
        <f t="shared" si="18"/>
        <v>41</v>
      </c>
      <c r="D56" s="26">
        <f t="shared" si="16"/>
        <v>69.500000001130473</v>
      </c>
      <c r="E56" s="26">
        <f t="shared" si="17"/>
        <v>69.983393808694615</v>
      </c>
      <c r="F56" s="4">
        <f t="shared" si="19"/>
        <v>-1</v>
      </c>
      <c r="G56" s="4">
        <f t="shared" si="20"/>
        <v>1</v>
      </c>
      <c r="H56" s="4">
        <f t="shared" si="21"/>
        <v>36000</v>
      </c>
      <c r="I56" s="4">
        <v>0</v>
      </c>
      <c r="J56" s="4">
        <f t="shared" si="22"/>
        <v>59476.906121221953</v>
      </c>
      <c r="K56" s="4">
        <f t="shared" si="23"/>
        <v>16.365822759454431</v>
      </c>
      <c r="L56" s="4">
        <f t="shared" si="24"/>
        <v>-32.733989945690304</v>
      </c>
      <c r="M56" s="4">
        <f t="shared" si="25"/>
        <v>-1.5303789229854132</v>
      </c>
      <c r="N56" s="4">
        <f t="shared" si="26"/>
        <v>1.0472679329490417</v>
      </c>
      <c r="O56" s="4">
        <f t="shared" si="27"/>
        <v>-0.32690134382555236</v>
      </c>
      <c r="P56" s="4">
        <f t="shared" si="28"/>
        <v>70.5</v>
      </c>
      <c r="Q56" s="20">
        <f t="shared" si="29"/>
        <v>7.8543898787504993E-2</v>
      </c>
      <c r="R56" s="25">
        <f t="shared" si="30"/>
        <v>70.499999999834685</v>
      </c>
      <c r="S56" s="25">
        <f t="shared" si="31"/>
        <v>69.994615760715106</v>
      </c>
      <c r="U56" s="13"/>
      <c r="V56" s="13"/>
      <c r="W56" s="13"/>
    </row>
    <row r="57" spans="1:23">
      <c r="A57" s="19">
        <f t="shared" si="32"/>
        <v>36526.211307963982</v>
      </c>
      <c r="B57" s="4">
        <f t="shared" si="33"/>
        <v>40.879644842894088</v>
      </c>
      <c r="C57" s="4">
        <f t="shared" si="18"/>
        <v>40</v>
      </c>
      <c r="D57" s="26">
        <f t="shared" si="16"/>
        <v>70.499999999834685</v>
      </c>
      <c r="E57" s="26">
        <f t="shared" si="17"/>
        <v>69.994615760715106</v>
      </c>
      <c r="F57" s="4">
        <f t="shared" si="19"/>
        <v>-1</v>
      </c>
      <c r="G57" s="4">
        <f t="shared" si="20"/>
        <v>0</v>
      </c>
      <c r="H57" s="4">
        <f t="shared" si="21"/>
        <v>0</v>
      </c>
      <c r="I57" s="4">
        <v>0</v>
      </c>
      <c r="J57" s="4">
        <f t="shared" si="22"/>
        <v>23431.885386788148</v>
      </c>
      <c r="K57" s="4">
        <f t="shared" si="23"/>
        <v>-14.691712070538699</v>
      </c>
      <c r="L57" s="4">
        <f t="shared" si="24"/>
        <v>28.233715801214984</v>
      </c>
      <c r="M57" s="4">
        <f t="shared" si="25"/>
        <v>1.3866393557256131</v>
      </c>
      <c r="N57" s="4">
        <f t="shared" si="26"/>
        <v>1.0472679329490417</v>
      </c>
      <c r="O57" s="4">
        <f t="shared" si="27"/>
        <v>-0.32690134382555236</v>
      </c>
      <c r="P57" s="4">
        <f t="shared" si="28"/>
        <v>69.5</v>
      </c>
      <c r="Q57" s="20">
        <f t="shared" si="29"/>
        <v>9.0921117166593221E-2</v>
      </c>
      <c r="R57" s="25">
        <f t="shared" si="30"/>
        <v>69.500000001051433</v>
      </c>
      <c r="S57" s="25">
        <f t="shared" si="31"/>
        <v>69.984122093199929</v>
      </c>
      <c r="U57" s="13"/>
      <c r="V57" s="13"/>
      <c r="W57" s="13"/>
    </row>
    <row r="58" spans="1:23">
      <c r="A58" s="19">
        <f t="shared" si="32"/>
        <v>36526.215096343862</v>
      </c>
      <c r="B58" s="4">
        <f t="shared" si="33"/>
        <v>40.788723725727493</v>
      </c>
      <c r="C58" s="4">
        <f t="shared" si="18"/>
        <v>40</v>
      </c>
      <c r="D58" s="26">
        <f t="shared" si="16"/>
        <v>69.500000001051433</v>
      </c>
      <c r="E58" s="26">
        <f t="shared" si="17"/>
        <v>69.984122093199929</v>
      </c>
      <c r="F58" s="4">
        <f t="shared" si="19"/>
        <v>-1</v>
      </c>
      <c r="G58" s="4">
        <f t="shared" si="20"/>
        <v>1</v>
      </c>
      <c r="H58" s="4">
        <f t="shared" si="21"/>
        <v>36000</v>
      </c>
      <c r="I58" s="4">
        <v>0</v>
      </c>
      <c r="J58" s="4">
        <f t="shared" si="22"/>
        <v>59379.770129797194</v>
      </c>
      <c r="K58" s="4">
        <f t="shared" si="23"/>
        <v>16.30427156433484</v>
      </c>
      <c r="L58" s="4">
        <f t="shared" si="24"/>
        <v>-32.569824114236226</v>
      </c>
      <c r="M58" s="4">
        <f t="shared" si="25"/>
        <v>-1.5250797385644432</v>
      </c>
      <c r="N58" s="4">
        <f t="shared" si="26"/>
        <v>1.0472679329490417</v>
      </c>
      <c r="O58" s="4">
        <f t="shared" si="27"/>
        <v>-0.32690134382555236</v>
      </c>
      <c r="P58" s="4">
        <f t="shared" si="28"/>
        <v>70.5</v>
      </c>
      <c r="Q58" s="20">
        <f t="shared" si="29"/>
        <v>7.8937076443008222E-2</v>
      </c>
      <c r="R58" s="25">
        <f t="shared" si="30"/>
        <v>70.499999999823757</v>
      </c>
      <c r="S58" s="25">
        <f t="shared" si="31"/>
        <v>69.995326029609572</v>
      </c>
      <c r="U58" s="13"/>
      <c r="V58" s="13"/>
      <c r="W58" s="13"/>
    </row>
    <row r="59" spans="1:23">
      <c r="A59" s="19">
        <f t="shared" si="32"/>
        <v>36526.218385388711</v>
      </c>
      <c r="B59" s="4">
        <f t="shared" si="33"/>
        <v>40.709786649284482</v>
      </c>
      <c r="C59" s="4">
        <f t="shared" si="18"/>
        <v>40</v>
      </c>
      <c r="D59" s="26">
        <f t="shared" si="16"/>
        <v>70.499999999823757</v>
      </c>
      <c r="E59" s="26">
        <f t="shared" si="17"/>
        <v>69.995326029609572</v>
      </c>
      <c r="F59" s="4">
        <f t="shared" si="19"/>
        <v>-1</v>
      </c>
      <c r="G59" s="4">
        <f t="shared" si="20"/>
        <v>0</v>
      </c>
      <c r="H59" s="4">
        <f t="shared" si="21"/>
        <v>0</v>
      </c>
      <c r="I59" s="4">
        <v>0</v>
      </c>
      <c r="J59" s="4">
        <f t="shared" si="22"/>
        <v>23334.524029076671</v>
      </c>
      <c r="K59" s="4">
        <f t="shared" si="23"/>
        <v>-14.753528578702173</v>
      </c>
      <c r="L59" s="4">
        <f t="shared" si="24"/>
        <v>28.398248175844952</v>
      </c>
      <c r="M59" s="4">
        <f t="shared" si="25"/>
        <v>1.3919651746943238</v>
      </c>
      <c r="N59" s="4">
        <f t="shared" si="26"/>
        <v>1.0472679329490417</v>
      </c>
      <c r="O59" s="4">
        <f t="shared" si="27"/>
        <v>-0.32690134382555236</v>
      </c>
      <c r="P59" s="4">
        <f t="shared" si="28"/>
        <v>69.5</v>
      </c>
      <c r="Q59" s="20">
        <f t="shared" si="29"/>
        <v>9.0393194578679878E-2</v>
      </c>
      <c r="R59" s="25">
        <f t="shared" si="30"/>
        <v>69.500000000978204</v>
      </c>
      <c r="S59" s="25">
        <f t="shared" si="31"/>
        <v>69.984828105103944</v>
      </c>
      <c r="U59" s="13"/>
      <c r="V59" s="13"/>
      <c r="W59" s="13"/>
    </row>
    <row r="60" spans="1:23">
      <c r="A60" s="19">
        <f t="shared" si="32"/>
        <v>36526.222151771821</v>
      </c>
      <c r="B60" s="4">
        <f t="shared" si="33"/>
        <v>40.619393454705801</v>
      </c>
      <c r="C60" s="4">
        <f t="shared" si="18"/>
        <v>40</v>
      </c>
      <c r="D60" s="26">
        <f t="shared" si="16"/>
        <v>69.500000000978204</v>
      </c>
      <c r="E60" s="26">
        <f t="shared" si="17"/>
        <v>69.984828105103944</v>
      </c>
      <c r="F60" s="4">
        <f t="shared" si="19"/>
        <v>-1</v>
      </c>
      <c r="G60" s="4">
        <f t="shared" si="20"/>
        <v>1</v>
      </c>
      <c r="H60" s="4">
        <f t="shared" si="21"/>
        <v>36000</v>
      </c>
      <c r="I60" s="4">
        <v>0</v>
      </c>
      <c r="J60" s="4">
        <f t="shared" si="22"/>
        <v>59282.711373089725</v>
      </c>
      <c r="K60" s="4">
        <f t="shared" si="23"/>
        <v>16.242634442099131</v>
      </c>
      <c r="L60" s="4">
        <f t="shared" si="24"/>
        <v>-32.405804600877488</v>
      </c>
      <c r="M60" s="4">
        <f t="shared" si="25"/>
        <v>-1.5197689809747175</v>
      </c>
      <c r="N60" s="4">
        <f t="shared" si="26"/>
        <v>1.0472679329490417</v>
      </c>
      <c r="O60" s="4">
        <f t="shared" si="27"/>
        <v>-0.32690134382555236</v>
      </c>
      <c r="P60" s="4">
        <f t="shared" si="28"/>
        <v>70.5</v>
      </c>
      <c r="Q60" s="20">
        <f t="shared" si="29"/>
        <v>7.9334796267553354E-2</v>
      </c>
      <c r="R60" s="25">
        <f t="shared" si="30"/>
        <v>70.499999999812061</v>
      </c>
      <c r="S60" s="25">
        <f t="shared" si="31"/>
        <v>69.996017859556645</v>
      </c>
      <c r="U60" s="13"/>
      <c r="V60" s="13"/>
      <c r="W60" s="13"/>
    </row>
    <row r="61" spans="1:23">
      <c r="A61" s="19">
        <f t="shared" si="32"/>
        <v>36526.225457388333</v>
      </c>
      <c r="B61" s="4">
        <f t="shared" si="33"/>
        <v>40.540058658438248</v>
      </c>
      <c r="C61" s="4">
        <f t="shared" si="18"/>
        <v>40</v>
      </c>
      <c r="D61" s="26">
        <f t="shared" si="16"/>
        <v>70.499999999812061</v>
      </c>
      <c r="E61" s="26">
        <f t="shared" si="17"/>
        <v>69.996017859556645</v>
      </c>
      <c r="F61" s="4">
        <f t="shared" si="19"/>
        <v>-1</v>
      </c>
      <c r="G61" s="4">
        <f t="shared" si="20"/>
        <v>0</v>
      </c>
      <c r="H61" s="4">
        <f t="shared" si="21"/>
        <v>0</v>
      </c>
      <c r="I61" s="4">
        <v>0</v>
      </c>
      <c r="J61" s="4">
        <f t="shared" si="22"/>
        <v>23237.237302547535</v>
      </c>
      <c r="K61" s="4">
        <f t="shared" si="23"/>
        <v>-14.81540895140671</v>
      </c>
      <c r="L61" s="4">
        <f t="shared" si="24"/>
        <v>28.562641408105346</v>
      </c>
      <c r="M61" s="4">
        <f t="shared" si="25"/>
        <v>1.3972999332684672</v>
      </c>
      <c r="N61" s="4">
        <f t="shared" si="26"/>
        <v>1.0472679329490417</v>
      </c>
      <c r="O61" s="4">
        <f t="shared" si="27"/>
        <v>-0.32690134382555236</v>
      </c>
      <c r="P61" s="4">
        <f t="shared" si="28"/>
        <v>69.5</v>
      </c>
      <c r="Q61" s="20">
        <f t="shared" si="29"/>
        <v>8.9871133209639589E-2</v>
      </c>
      <c r="R61" s="25">
        <f t="shared" si="30"/>
        <v>69.500000000910376</v>
      </c>
      <c r="S61" s="25">
        <f t="shared" si="31"/>
        <v>69.985518245605192</v>
      </c>
      <c r="U61" s="13"/>
      <c r="V61" s="13"/>
      <c r="W61" s="13"/>
    </row>
    <row r="62" spans="1:23">
      <c r="A62" s="19">
        <f t="shared" si="32"/>
        <v>36526.229202018883</v>
      </c>
      <c r="B62" s="4">
        <f t="shared" si="33"/>
        <v>40.450187525228607</v>
      </c>
      <c r="C62" s="4">
        <f t="shared" si="18"/>
        <v>40</v>
      </c>
      <c r="D62" s="26">
        <f t="shared" si="16"/>
        <v>69.500000000910376</v>
      </c>
      <c r="E62" s="26">
        <f t="shared" si="17"/>
        <v>69.985518245605192</v>
      </c>
      <c r="F62" s="4">
        <f t="shared" si="19"/>
        <v>-1</v>
      </c>
      <c r="G62" s="4">
        <f t="shared" si="20"/>
        <v>1</v>
      </c>
      <c r="H62" s="4">
        <f t="shared" si="21"/>
        <v>36000</v>
      </c>
      <c r="I62" s="4">
        <v>0</v>
      </c>
      <c r="J62" s="4">
        <f t="shared" si="22"/>
        <v>59185.723887960834</v>
      </c>
      <c r="K62" s="4">
        <f t="shared" si="23"/>
        <v>16.180947132139636</v>
      </c>
      <c r="L62" s="4">
        <f t="shared" si="24"/>
        <v>-32.241916701844964</v>
      </c>
      <c r="M62" s="4">
        <f t="shared" si="25"/>
        <v>-1.5144509505978689</v>
      </c>
      <c r="N62" s="4">
        <f t="shared" si="26"/>
        <v>1.0472679329490417</v>
      </c>
      <c r="O62" s="4">
        <f t="shared" si="27"/>
        <v>-0.32690134382555236</v>
      </c>
      <c r="P62" s="4">
        <f t="shared" si="28"/>
        <v>70.5</v>
      </c>
      <c r="Q62" s="20">
        <f t="shared" si="29"/>
        <v>7.973692647023517E-2</v>
      </c>
      <c r="R62" s="25">
        <f t="shared" si="30"/>
        <v>70.499999999799542</v>
      </c>
      <c r="S62" s="25">
        <f t="shared" si="31"/>
        <v>69.996696669758791</v>
      </c>
      <c r="U62" s="13"/>
      <c r="V62" s="13"/>
      <c r="W62" s="13"/>
    </row>
    <row r="63" spans="1:23">
      <c r="A63" s="19">
        <f t="shared" si="32"/>
        <v>36526.23252439082</v>
      </c>
      <c r="B63" s="4">
        <f t="shared" si="33"/>
        <v>40.370450598758374</v>
      </c>
      <c r="C63" s="4">
        <f t="shared" si="18"/>
        <v>40</v>
      </c>
      <c r="D63" s="26">
        <f t="shared" si="16"/>
        <v>70.499999999799542</v>
      </c>
      <c r="E63" s="26">
        <f t="shared" si="17"/>
        <v>69.996696669758791</v>
      </c>
      <c r="F63" s="4">
        <f t="shared" si="19"/>
        <v>-1</v>
      </c>
      <c r="G63" s="4">
        <f t="shared" si="20"/>
        <v>0</v>
      </c>
      <c r="H63" s="4">
        <f t="shared" si="21"/>
        <v>0</v>
      </c>
      <c r="I63" s="4">
        <v>0</v>
      </c>
      <c r="J63" s="4">
        <f t="shared" si="22"/>
        <v>23140.019319603511</v>
      </c>
      <c r="K63" s="4">
        <f t="shared" si="23"/>
        <v>-14.877323502896388</v>
      </c>
      <c r="L63" s="4">
        <f t="shared" si="24"/>
        <v>28.72690935989711</v>
      </c>
      <c r="M63" s="4">
        <f t="shared" si="25"/>
        <v>1.4026400411440569</v>
      </c>
      <c r="N63" s="4">
        <f t="shared" si="26"/>
        <v>1.0472679329490417</v>
      </c>
      <c r="O63" s="4">
        <f t="shared" si="27"/>
        <v>-0.32690134382555236</v>
      </c>
      <c r="P63" s="4">
        <f t="shared" si="28"/>
        <v>69.5</v>
      </c>
      <c r="Q63" s="20">
        <f t="shared" si="29"/>
        <v>8.9355049261223951E-2</v>
      </c>
      <c r="R63" s="25">
        <f t="shared" si="30"/>
        <v>69.500000000847535</v>
      </c>
      <c r="S63" s="25">
        <f t="shared" si="31"/>
        <v>69.986196925794658</v>
      </c>
      <c r="U63" s="13"/>
      <c r="V63" s="13"/>
      <c r="W63" s="13"/>
    </row>
    <row r="64" spans="1:23">
      <c r="A64" s="19">
        <f t="shared" si="32"/>
        <v>36526.236247517874</v>
      </c>
      <c r="B64" s="4">
        <f t="shared" si="33"/>
        <v>40.281095549497152</v>
      </c>
      <c r="C64" s="4">
        <f t="shared" si="18"/>
        <v>40</v>
      </c>
      <c r="D64" s="26">
        <f t="shared" si="16"/>
        <v>69.500000000847535</v>
      </c>
      <c r="E64" s="26">
        <f t="shared" si="17"/>
        <v>69.986196925794658</v>
      </c>
      <c r="F64" s="4">
        <f t="shared" si="19"/>
        <v>-1</v>
      </c>
      <c r="G64" s="4">
        <f t="shared" si="20"/>
        <v>1</v>
      </c>
      <c r="H64" s="4">
        <f t="shared" si="21"/>
        <v>36000</v>
      </c>
      <c r="I64" s="4">
        <v>0</v>
      </c>
      <c r="J64" s="4">
        <f t="shared" si="22"/>
        <v>59088.801720207368</v>
      </c>
      <c r="K64" s="4">
        <f t="shared" si="23"/>
        <v>16.119233007523292</v>
      </c>
      <c r="L64" s="4">
        <f t="shared" si="24"/>
        <v>-32.078147176648372</v>
      </c>
      <c r="M64" s="4">
        <f t="shared" si="25"/>
        <v>-1.5091285001258399</v>
      </c>
      <c r="N64" s="4">
        <f t="shared" si="26"/>
        <v>1.0472679329490417</v>
      </c>
      <c r="O64" s="4">
        <f t="shared" si="27"/>
        <v>-0.32690134382555236</v>
      </c>
      <c r="P64" s="4">
        <f t="shared" si="28"/>
        <v>70.5</v>
      </c>
      <c r="Q64" s="20">
        <f t="shared" si="29"/>
        <v>8.0143403056977452E-2</v>
      </c>
      <c r="R64" s="25">
        <f t="shared" si="30"/>
        <v>70.499999999786127</v>
      </c>
      <c r="S64" s="25">
        <f t="shared" si="31"/>
        <v>69.997366198424203</v>
      </c>
      <c r="U64" s="13"/>
      <c r="V64" s="13"/>
      <c r="W64" s="13"/>
    </row>
    <row r="65" spans="1:23">
      <c r="A65" s="19">
        <f t="shared" si="32"/>
        <v>36526.239586826334</v>
      </c>
      <c r="B65" s="4">
        <f t="shared" si="33"/>
        <v>40.200952146440173</v>
      </c>
      <c r="C65" s="4">
        <f t="shared" si="18"/>
        <v>40</v>
      </c>
      <c r="D65" s="26">
        <f t="shared" si="16"/>
        <v>70.499999999786127</v>
      </c>
      <c r="E65" s="26">
        <f t="shared" si="17"/>
        <v>69.997366198424203</v>
      </c>
      <c r="F65" s="4">
        <f t="shared" si="19"/>
        <v>-1</v>
      </c>
      <c r="G65" s="4">
        <f t="shared" si="20"/>
        <v>0</v>
      </c>
      <c r="H65" s="4">
        <f t="shared" si="21"/>
        <v>0</v>
      </c>
      <c r="I65" s="4">
        <v>0</v>
      </c>
      <c r="J65" s="4">
        <f t="shared" si="22"/>
        <v>23042.864162722337</v>
      </c>
      <c r="K65" s="4">
        <f t="shared" si="23"/>
        <v>-14.93925301843376</v>
      </c>
      <c r="L65" s="4">
        <f t="shared" si="24"/>
        <v>28.891064720252619</v>
      </c>
      <c r="M65" s="4">
        <f t="shared" si="25"/>
        <v>1.4079831330933352</v>
      </c>
      <c r="N65" s="4">
        <f t="shared" si="26"/>
        <v>1.0472679329490417</v>
      </c>
      <c r="O65" s="4">
        <f t="shared" si="27"/>
        <v>-0.32690134382555236</v>
      </c>
      <c r="P65" s="4">
        <f t="shared" si="28"/>
        <v>69.5</v>
      </c>
      <c r="Q65" s="20">
        <f t="shared" si="29"/>
        <v>8.8844974774488064E-2</v>
      </c>
      <c r="R65" s="25">
        <f t="shared" si="30"/>
        <v>69.500000000789314</v>
      </c>
      <c r="S65" s="25">
        <f t="shared" si="31"/>
        <v>69.986867201945543</v>
      </c>
      <c r="U65" s="13"/>
      <c r="V65" s="13"/>
      <c r="W65" s="13"/>
    </row>
    <row r="66" spans="1:23">
      <c r="A66" s="19">
        <f t="shared" si="32"/>
        <v>36526.24328870028</v>
      </c>
      <c r="B66" s="4">
        <f t="shared" si="33"/>
        <v>40.112107171665684</v>
      </c>
      <c r="C66" s="4">
        <f t="shared" si="18"/>
        <v>40</v>
      </c>
      <c r="D66" s="26">
        <f t="shared" si="16"/>
        <v>69.500000000789314</v>
      </c>
      <c r="E66" s="26">
        <f t="shared" si="17"/>
        <v>69.986867201945543</v>
      </c>
      <c r="F66" s="4">
        <f t="shared" si="19"/>
        <v>-1</v>
      </c>
      <c r="G66" s="4">
        <f t="shared" si="20"/>
        <v>1</v>
      </c>
      <c r="H66" s="4">
        <f t="shared" si="21"/>
        <v>36000</v>
      </c>
      <c r="I66" s="4">
        <v>0</v>
      </c>
      <c r="J66" s="4">
        <f t="shared" si="22"/>
        <v>58991.938933941397</v>
      </c>
      <c r="K66" s="4">
        <f t="shared" si="23"/>
        <v>16.057507030938496</v>
      </c>
      <c r="L66" s="4">
        <f t="shared" si="24"/>
        <v>-31.914483801569006</v>
      </c>
      <c r="M66" s="4">
        <f t="shared" si="25"/>
        <v>-1.5038034974319743</v>
      </c>
      <c r="N66" s="4">
        <f t="shared" si="26"/>
        <v>1.0472679329490417</v>
      </c>
      <c r="O66" s="4">
        <f t="shared" si="27"/>
        <v>-0.32690134382555236</v>
      </c>
      <c r="P66" s="4">
        <f t="shared" si="28"/>
        <v>70.5</v>
      </c>
      <c r="Q66" s="20">
        <f t="shared" si="29"/>
        <v>8.0554209268669158E-2</v>
      </c>
      <c r="R66" s="25">
        <f t="shared" si="30"/>
        <v>70.499999999771745</v>
      </c>
      <c r="S66" s="25">
        <f t="shared" si="31"/>
        <v>69.998029040333847</v>
      </c>
      <c r="U66" s="13"/>
      <c r="V66" s="13"/>
      <c r="W66" s="13"/>
    </row>
    <row r="67" spans="1:23">
      <c r="A67" s="19">
        <f t="shared" si="32"/>
        <v>36526.246645125662</v>
      </c>
      <c r="B67" s="4">
        <f t="shared" si="33"/>
        <v>40.031552962397015</v>
      </c>
      <c r="C67" s="4">
        <f t="shared" si="18"/>
        <v>40</v>
      </c>
      <c r="D67" s="26">
        <f t="shared" si="16"/>
        <v>70.499999999771745</v>
      </c>
      <c r="E67" s="26">
        <f t="shared" si="17"/>
        <v>69.998029040333847</v>
      </c>
      <c r="F67" s="4">
        <f t="shared" si="19"/>
        <v>-1</v>
      </c>
      <c r="G67" s="4">
        <f t="shared" si="20"/>
        <v>0</v>
      </c>
      <c r="H67" s="4">
        <f t="shared" si="21"/>
        <v>0</v>
      </c>
      <c r="I67" s="4">
        <v>0</v>
      </c>
      <c r="J67" s="4">
        <f t="shared" si="22"/>
        <v>22945.765905622269</v>
      </c>
      <c r="K67" s="4">
        <f t="shared" si="23"/>
        <v>-15.001185397872916</v>
      </c>
      <c r="L67" s="4">
        <f t="shared" si="24"/>
        <v>29.055119360874397</v>
      </c>
      <c r="M67" s="4">
        <f t="shared" si="25"/>
        <v>1.4133276765003338</v>
      </c>
      <c r="N67" s="4">
        <f t="shared" si="26"/>
        <v>1.0472679329490417</v>
      </c>
      <c r="O67" s="4">
        <f t="shared" si="27"/>
        <v>-0.32690134382555236</v>
      </c>
      <c r="P67" s="4">
        <f t="shared" si="28"/>
        <v>69.5</v>
      </c>
      <c r="Q67" s="20">
        <f t="shared" si="29"/>
        <v>8.834088661792594E-2</v>
      </c>
      <c r="R67" s="25">
        <f t="shared" si="30"/>
        <v>69.500000000735341</v>
      </c>
      <c r="S67" s="25">
        <f t="shared" si="31"/>
        <v>69.987531207343523</v>
      </c>
      <c r="U67" s="13"/>
      <c r="V67" s="13"/>
      <c r="W67" s="13"/>
    </row>
    <row r="68" spans="1:23">
      <c r="A68" s="19">
        <f t="shared" si="32"/>
        <v>36526.250325995941</v>
      </c>
      <c r="B68" s="4">
        <f t="shared" si="33"/>
        <v>39.943212075779087</v>
      </c>
      <c r="C68" s="4">
        <f t="shared" si="18"/>
        <v>40</v>
      </c>
      <c r="D68" s="26">
        <f t="shared" si="16"/>
        <v>69.500000000735341</v>
      </c>
      <c r="E68" s="26">
        <f t="shared" si="17"/>
        <v>69.987531207343523</v>
      </c>
      <c r="F68" s="4">
        <f t="shared" si="19"/>
        <v>0</v>
      </c>
      <c r="G68" s="4">
        <f t="shared" si="20"/>
        <v>1</v>
      </c>
      <c r="H68" s="4">
        <f t="shared" si="21"/>
        <v>36000</v>
      </c>
      <c r="I68" s="4">
        <v>0</v>
      </c>
      <c r="J68" s="4">
        <f t="shared" si="22"/>
        <v>58895.129616139966</v>
      </c>
      <c r="K68" s="4">
        <f t="shared" si="23"/>
        <v>15.995778442458516</v>
      </c>
      <c r="L68" s="4">
        <f t="shared" si="24"/>
        <v>-31.75091506307604</v>
      </c>
      <c r="M68" s="4">
        <f t="shared" si="25"/>
        <v>-1.4984771400923158</v>
      </c>
      <c r="N68" s="4">
        <f t="shared" si="26"/>
        <v>1.0472679329490417</v>
      </c>
      <c r="O68" s="4">
        <f t="shared" si="27"/>
        <v>-0.32690134382555236</v>
      </c>
      <c r="P68" s="4">
        <f t="shared" si="28"/>
        <v>70.5</v>
      </c>
      <c r="Q68" s="20">
        <f t="shared" si="29"/>
        <v>8.0969361510309867E-2</v>
      </c>
      <c r="R68" s="25">
        <f t="shared" si="30"/>
        <v>70.499999999756341</v>
      </c>
      <c r="S68" s="25">
        <f t="shared" si="31"/>
        <v>69.99868701198173</v>
      </c>
      <c r="U68" s="13"/>
      <c r="V68" s="13"/>
      <c r="W68" s="13"/>
    </row>
    <row r="69" spans="1:23">
      <c r="A69" s="19">
        <f t="shared" si="32"/>
        <v>36526.253699719338</v>
      </c>
      <c r="B69" s="4">
        <f t="shared" si="33"/>
        <v>39.943212075779087</v>
      </c>
      <c r="C69" s="4">
        <f t="shared" si="18"/>
        <v>40</v>
      </c>
      <c r="D69" s="26">
        <f t="shared" si="16"/>
        <v>70.499999999756341</v>
      </c>
      <c r="E69" s="26">
        <f t="shared" si="17"/>
        <v>69.99868701198173</v>
      </c>
      <c r="F69" s="4">
        <f t="shared" si="19"/>
        <v>0</v>
      </c>
      <c r="G69" s="4">
        <f t="shared" si="20"/>
        <v>0</v>
      </c>
      <c r="H69" s="4">
        <f t="shared" si="21"/>
        <v>0</v>
      </c>
      <c r="I69" s="4">
        <v>0</v>
      </c>
      <c r="J69" s="4">
        <f t="shared" si="22"/>
        <v>22895.129616139966</v>
      </c>
      <c r="K69" s="4">
        <f t="shared" si="23"/>
        <v>-15.031541274798371</v>
      </c>
      <c r="L69" s="4">
        <f t="shared" si="24"/>
        <v>29.140900359477147</v>
      </c>
      <c r="M69" s="4">
        <f t="shared" si="25"/>
        <v>1.4158875645001068</v>
      </c>
      <c r="N69" s="4">
        <f t="shared" si="26"/>
        <v>1.0472679329490417</v>
      </c>
      <c r="O69" s="4">
        <f t="shared" si="27"/>
        <v>-0.32690134382555236</v>
      </c>
      <c r="P69" s="4">
        <f t="shared" si="28"/>
        <v>69.5</v>
      </c>
      <c r="Q69" s="20">
        <f t="shared" si="29"/>
        <v>8.8094377397675908E-2</v>
      </c>
      <c r="R69" s="25">
        <f t="shared" si="30"/>
        <v>69.500000000709633</v>
      </c>
      <c r="S69" s="25">
        <f t="shared" si="31"/>
        <v>69.988133336269286</v>
      </c>
      <c r="U69" s="13"/>
      <c r="V69" s="13"/>
      <c r="W69" s="13"/>
    </row>
    <row r="70" spans="1:23">
      <c r="A70" s="19">
        <f t="shared" si="32"/>
        <v>36526.257370318395</v>
      </c>
      <c r="B70" s="4">
        <f t="shared" si="33"/>
        <v>39.943212075779087</v>
      </c>
      <c r="C70" s="4">
        <f t="shared" si="18"/>
        <v>40</v>
      </c>
      <c r="D70" s="26">
        <f t="shared" si="16"/>
        <v>69.500000000709633</v>
      </c>
      <c r="E70" s="26">
        <f t="shared" si="17"/>
        <v>69.988133336269286</v>
      </c>
      <c r="F70" s="4">
        <f t="shared" si="19"/>
        <v>0</v>
      </c>
      <c r="G70" s="4">
        <f t="shared" si="20"/>
        <v>1</v>
      </c>
      <c r="H70" s="4">
        <f t="shared" si="21"/>
        <v>36000</v>
      </c>
      <c r="I70" s="4">
        <v>0</v>
      </c>
      <c r="J70" s="4">
        <f t="shared" si="22"/>
        <v>58895.129616139966</v>
      </c>
      <c r="K70" s="4">
        <f t="shared" si="23"/>
        <v>15.999521849486996</v>
      </c>
      <c r="L70" s="4">
        <f t="shared" si="24"/>
        <v>-31.7504768864063</v>
      </c>
      <c r="M70" s="4">
        <f t="shared" si="25"/>
        <v>-1.4989153167877625</v>
      </c>
      <c r="N70" s="4">
        <f t="shared" si="26"/>
        <v>1.0472679329490417</v>
      </c>
      <c r="O70" s="4">
        <f t="shared" si="27"/>
        <v>-0.32690134382555236</v>
      </c>
      <c r="P70" s="4">
        <f t="shared" si="28"/>
        <v>70.5</v>
      </c>
      <c r="Q70" s="20">
        <f t="shared" si="29"/>
        <v>8.0946415812349071E-2</v>
      </c>
      <c r="R70" s="25">
        <f t="shared" si="30"/>
        <v>70.499999999756881</v>
      </c>
      <c r="S70" s="25">
        <f t="shared" si="31"/>
        <v>69.999189047730937</v>
      </c>
      <c r="U70" s="13"/>
      <c r="V70" s="13"/>
      <c r="W70" s="13"/>
    </row>
    <row r="71" spans="1:23">
      <c r="A71" s="19">
        <f t="shared" si="32"/>
        <v>36526.260743085724</v>
      </c>
      <c r="B71" s="4">
        <f t="shared" si="33"/>
        <v>39.943212075779087</v>
      </c>
      <c r="C71" s="4">
        <f t="shared" si="18"/>
        <v>40</v>
      </c>
      <c r="D71" s="26">
        <f t="shared" si="16"/>
        <v>70.499999999756881</v>
      </c>
      <c r="E71" s="26">
        <f t="shared" si="17"/>
        <v>69.999189047730937</v>
      </c>
      <c r="F71" s="4">
        <f t="shared" si="19"/>
        <v>0</v>
      </c>
      <c r="G71" s="4">
        <f t="shared" si="20"/>
        <v>0</v>
      </c>
      <c r="H71" s="4">
        <f t="shared" si="21"/>
        <v>0</v>
      </c>
      <c r="I71" s="4">
        <v>0</v>
      </c>
      <c r="J71" s="4">
        <f t="shared" si="22"/>
        <v>22895.129616139966</v>
      </c>
      <c r="K71" s="4">
        <f t="shared" si="23"/>
        <v>-15.028420142455616</v>
      </c>
      <c r="L71" s="4">
        <f t="shared" si="24"/>
        <v>29.14126569710902</v>
      </c>
      <c r="M71" s="4">
        <f t="shared" si="25"/>
        <v>1.4155222268687737</v>
      </c>
      <c r="N71" s="4">
        <f t="shared" si="26"/>
        <v>1.0472679329490417</v>
      </c>
      <c r="O71" s="4">
        <f t="shared" si="27"/>
        <v>-0.32690134382555236</v>
      </c>
      <c r="P71" s="4">
        <f t="shared" si="28"/>
        <v>69.5</v>
      </c>
      <c r="Q71" s="20">
        <f t="shared" si="29"/>
        <v>8.8116947918993049E-2</v>
      </c>
      <c r="R71" s="25">
        <f t="shared" si="30"/>
        <v>69.500000000711026</v>
      </c>
      <c r="S71" s="25">
        <f t="shared" si="31"/>
        <v>69.9885450468839</v>
      </c>
      <c r="U71" s="13"/>
      <c r="V71" s="13"/>
      <c r="W71" s="13"/>
    </row>
    <row r="72" spans="1:23">
      <c r="A72" s="19">
        <f t="shared" si="32"/>
        <v>36526.264414625221</v>
      </c>
      <c r="B72" s="4">
        <f t="shared" si="33"/>
        <v>39.943212075779087</v>
      </c>
      <c r="C72" s="4">
        <f t="shared" si="18"/>
        <v>40</v>
      </c>
      <c r="D72" s="26">
        <f t="shared" si="16"/>
        <v>69.500000000711026</v>
      </c>
      <c r="E72" s="26">
        <f t="shared" si="17"/>
        <v>69.9885450468839</v>
      </c>
      <c r="F72" s="4">
        <f t="shared" si="19"/>
        <v>0</v>
      </c>
      <c r="G72" s="4">
        <f t="shared" si="20"/>
        <v>1</v>
      </c>
      <c r="H72" s="4">
        <f t="shared" si="21"/>
        <v>36000</v>
      </c>
      <c r="I72" s="4">
        <v>0</v>
      </c>
      <c r="J72" s="4">
        <f t="shared" si="22"/>
        <v>58895.129616139966</v>
      </c>
      <c r="K72" s="4">
        <f t="shared" si="23"/>
        <v>16.002081434763625</v>
      </c>
      <c r="L72" s="4">
        <f t="shared" si="24"/>
        <v>-31.750177279493215</v>
      </c>
      <c r="M72" s="4">
        <f t="shared" si="25"/>
        <v>-1.499214923699455</v>
      </c>
      <c r="N72" s="4">
        <f t="shared" si="26"/>
        <v>1.0472679329490417</v>
      </c>
      <c r="O72" s="4">
        <f t="shared" si="27"/>
        <v>-0.32690134382555236</v>
      </c>
      <c r="P72" s="4">
        <f t="shared" si="28"/>
        <v>70.5</v>
      </c>
      <c r="Q72" s="20">
        <f t="shared" si="29"/>
        <v>8.0930733425045143E-2</v>
      </c>
      <c r="R72" s="25">
        <f t="shared" si="30"/>
        <v>70.49999999975725</v>
      </c>
      <c r="S72" s="25">
        <f t="shared" si="31"/>
        <v>69.999532349003076</v>
      </c>
      <c r="U72" s="13"/>
      <c r="V72" s="13"/>
      <c r="W72" s="13"/>
    </row>
    <row r="73" spans="1:23">
      <c r="A73" s="19">
        <f t="shared" si="32"/>
        <v>36526.26778673911</v>
      </c>
      <c r="B73" s="4">
        <f t="shared" si="33"/>
        <v>39.943212075779087</v>
      </c>
      <c r="C73" s="4">
        <f t="shared" si="18"/>
        <v>40</v>
      </c>
      <c r="D73" s="26">
        <f t="shared" si="16"/>
        <v>70.49999999975725</v>
      </c>
      <c r="E73" s="26">
        <f t="shared" si="17"/>
        <v>69.999532349003076</v>
      </c>
      <c r="F73" s="4">
        <f t="shared" si="19"/>
        <v>0</v>
      </c>
      <c r="G73" s="4">
        <f t="shared" si="20"/>
        <v>0</v>
      </c>
      <c r="H73" s="4">
        <f t="shared" ref="H73" si="34">G73*QH</f>
        <v>0</v>
      </c>
      <c r="I73" s="4">
        <v>0</v>
      </c>
      <c r="J73" s="4">
        <f t="shared" ref="J73" si="35">I73+H73+UA*B73</f>
        <v>22895.129616139966</v>
      </c>
      <c r="K73" s="4">
        <f t="shared" si="23"/>
        <v>-15.026285854796868</v>
      </c>
      <c r="L73" s="4">
        <f t="shared" ref="L73" si="36">(q*D73-K73-J73/c_*q)/(q-p)</f>
        <v>29.141515521696171</v>
      </c>
      <c r="M73" s="4">
        <f t="shared" ref="M73" si="37">D73-J73/c_-L73</f>
        <v>1.4152724022819925</v>
      </c>
      <c r="N73" s="4">
        <f t="shared" si="26"/>
        <v>1.0472679329490417</v>
      </c>
      <c r="O73" s="4">
        <f t="shared" si="27"/>
        <v>-0.32690134382555236</v>
      </c>
      <c r="P73" s="4">
        <f t="shared" si="28"/>
        <v>69.5</v>
      </c>
      <c r="Q73" s="20">
        <f t="shared" ref="Q73:Q104" si="38">etpsolver(0,L73,p,M73,q,J73/_c-P73,0.00000001,100)</f>
        <v>8.8132388179311155E-2</v>
      </c>
      <c r="R73" s="25">
        <f t="shared" ref="R73" si="39">etp(Q73,L73,p,M73,q,+(H73+I73)/UA)+B73</f>
        <v>69.500000000711992</v>
      </c>
      <c r="S73" s="25">
        <f t="shared" si="31"/>
        <v>69.988826557677427</v>
      </c>
      <c r="U73" s="13"/>
      <c r="V73" s="13"/>
      <c r="W73" s="13"/>
    </row>
  </sheetData>
  <mergeCells count="6">
    <mergeCell ref="D1:G1"/>
    <mergeCell ref="I1:L1"/>
    <mergeCell ref="N1:P1"/>
    <mergeCell ref="H7:P7"/>
    <mergeCell ref="B7:F7"/>
    <mergeCell ref="A1:B1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7"/>
  <sheetViews>
    <sheetView workbookViewId="0">
      <selection activeCell="D4" sqref="D4"/>
    </sheetView>
  </sheetViews>
  <sheetFormatPr baseColWidth="10" defaultRowHeight="15" x14ac:dyDescent="0"/>
  <cols>
    <col min="1" max="1" width="11.83203125" style="1" bestFit="1" customWidth="1"/>
    <col min="2" max="3" width="10.83203125" style="1"/>
  </cols>
  <sheetData>
    <row r="1" spans="1:3">
      <c r="A1" s="3" t="s">
        <v>1</v>
      </c>
      <c r="B1" s="3" t="s">
        <v>8</v>
      </c>
      <c r="C1" s="3" t="s">
        <v>9</v>
      </c>
    </row>
    <row r="2" spans="1:3">
      <c r="A2" s="2">
        <v>36526</v>
      </c>
      <c r="B2" s="1">
        <v>50</v>
      </c>
      <c r="C2" s="1">
        <f>B3</f>
        <v>48</v>
      </c>
    </row>
    <row r="3" spans="1:3">
      <c r="A3" s="2">
        <f t="shared" ref="A3:A10" si="0">A2+1/24</f>
        <v>36526.041666666664</v>
      </c>
      <c r="B3" s="1">
        <v>48</v>
      </c>
      <c r="C3" s="1">
        <f t="shared" ref="C3:C26" si="1">B4</f>
        <v>46</v>
      </c>
    </row>
    <row r="4" spans="1:3">
      <c r="A4" s="2">
        <f t="shared" si="0"/>
        <v>36526.083333333328</v>
      </c>
      <c r="B4" s="1">
        <v>46</v>
      </c>
      <c r="C4" s="1">
        <f t="shared" si="1"/>
        <v>44</v>
      </c>
    </row>
    <row r="5" spans="1:3">
      <c r="A5" s="2">
        <f t="shared" si="0"/>
        <v>36526.124999999993</v>
      </c>
      <c r="B5" s="1">
        <v>44</v>
      </c>
      <c r="C5" s="1">
        <f t="shared" si="1"/>
        <v>42</v>
      </c>
    </row>
    <row r="6" spans="1:3">
      <c r="A6" s="2">
        <f t="shared" si="0"/>
        <v>36526.166666666657</v>
      </c>
      <c r="B6" s="1">
        <v>42</v>
      </c>
      <c r="C6" s="1">
        <f t="shared" si="1"/>
        <v>41</v>
      </c>
    </row>
    <row r="7" spans="1:3">
      <c r="A7" s="2">
        <f t="shared" si="0"/>
        <v>36526.208333333321</v>
      </c>
      <c r="B7" s="1">
        <v>41</v>
      </c>
      <c r="C7" s="1">
        <f t="shared" si="1"/>
        <v>40</v>
      </c>
    </row>
    <row r="8" spans="1:3">
      <c r="A8" s="2">
        <f t="shared" si="0"/>
        <v>36526.249999999985</v>
      </c>
      <c r="B8" s="1">
        <v>40</v>
      </c>
      <c r="C8" s="1">
        <f t="shared" si="1"/>
        <v>40</v>
      </c>
    </row>
    <row r="9" spans="1:3">
      <c r="A9" s="2">
        <f t="shared" si="0"/>
        <v>36526.29166666665</v>
      </c>
      <c r="B9" s="1">
        <v>40</v>
      </c>
      <c r="C9" s="1">
        <f t="shared" si="1"/>
        <v>42</v>
      </c>
    </row>
    <row r="10" spans="1:3">
      <c r="A10" s="2">
        <f t="shared" si="0"/>
        <v>36526.333333333314</v>
      </c>
      <c r="B10" s="1">
        <v>42</v>
      </c>
      <c r="C10" s="1">
        <f t="shared" si="1"/>
        <v>45</v>
      </c>
    </row>
    <row r="11" spans="1:3">
      <c r="A11" s="2">
        <f t="shared" ref="A11:A22" si="2">A10+1/24</f>
        <v>36526.374999999978</v>
      </c>
      <c r="B11" s="1">
        <v>45</v>
      </c>
      <c r="C11" s="1">
        <f t="shared" si="1"/>
        <v>48</v>
      </c>
    </row>
    <row r="12" spans="1:3">
      <c r="A12" s="2">
        <f t="shared" si="2"/>
        <v>36526.416666666642</v>
      </c>
      <c r="B12" s="1">
        <v>48</v>
      </c>
      <c r="C12" s="1">
        <f t="shared" si="1"/>
        <v>50</v>
      </c>
    </row>
    <row r="13" spans="1:3">
      <c r="A13" s="2">
        <f t="shared" si="2"/>
        <v>36526.458333333307</v>
      </c>
      <c r="B13" s="1">
        <v>50</v>
      </c>
      <c r="C13" s="1">
        <f t="shared" si="1"/>
        <v>52</v>
      </c>
    </row>
    <row r="14" spans="1:3">
      <c r="A14" s="2">
        <f t="shared" si="2"/>
        <v>36526.499999999971</v>
      </c>
      <c r="B14" s="1">
        <v>52</v>
      </c>
      <c r="C14" s="1">
        <f t="shared" si="1"/>
        <v>53</v>
      </c>
    </row>
    <row r="15" spans="1:3">
      <c r="A15" s="2">
        <f t="shared" si="2"/>
        <v>36526.541666666635</v>
      </c>
      <c r="B15" s="1">
        <v>53</v>
      </c>
      <c r="C15" s="1">
        <f t="shared" si="1"/>
        <v>55</v>
      </c>
    </row>
    <row r="16" spans="1:3">
      <c r="A16" s="2">
        <f t="shared" si="2"/>
        <v>36526.583333333299</v>
      </c>
      <c r="B16" s="1">
        <v>55</v>
      </c>
      <c r="C16" s="1">
        <f t="shared" si="1"/>
        <v>56</v>
      </c>
    </row>
    <row r="17" spans="1:3">
      <c r="A17" s="2">
        <f t="shared" si="2"/>
        <v>36526.624999999964</v>
      </c>
      <c r="B17" s="1">
        <v>56</v>
      </c>
      <c r="C17" s="1">
        <f t="shared" si="1"/>
        <v>55</v>
      </c>
    </row>
    <row r="18" spans="1:3">
      <c r="A18" s="2">
        <f t="shared" si="2"/>
        <v>36526.666666666628</v>
      </c>
      <c r="B18" s="1">
        <v>55</v>
      </c>
      <c r="C18" s="1">
        <f t="shared" si="1"/>
        <v>53</v>
      </c>
    </row>
    <row r="19" spans="1:3">
      <c r="A19" s="2">
        <f t="shared" si="2"/>
        <v>36526.708333333292</v>
      </c>
      <c r="B19" s="1">
        <v>53</v>
      </c>
      <c r="C19" s="1">
        <f t="shared" si="1"/>
        <v>52</v>
      </c>
    </row>
    <row r="20" spans="1:3">
      <c r="A20" s="2">
        <f t="shared" si="2"/>
        <v>36526.749999999956</v>
      </c>
      <c r="B20" s="1">
        <v>52</v>
      </c>
      <c r="C20" s="1">
        <f t="shared" si="1"/>
        <v>51</v>
      </c>
    </row>
    <row r="21" spans="1:3">
      <c r="A21" s="2">
        <f t="shared" si="2"/>
        <v>36526.791666666621</v>
      </c>
      <c r="B21" s="1">
        <v>51</v>
      </c>
      <c r="C21" s="1">
        <f t="shared" si="1"/>
        <v>51</v>
      </c>
    </row>
    <row r="22" spans="1:3">
      <c r="A22" s="2">
        <f t="shared" si="2"/>
        <v>36526.833333333285</v>
      </c>
      <c r="B22" s="1">
        <v>51</v>
      </c>
      <c r="C22" s="1">
        <f t="shared" si="1"/>
        <v>50</v>
      </c>
    </row>
    <row r="23" spans="1:3">
      <c r="A23" s="2">
        <f>A22+1/24</f>
        <v>36526.874999999949</v>
      </c>
      <c r="B23" s="1">
        <v>50</v>
      </c>
      <c r="C23" s="1">
        <f t="shared" si="1"/>
        <v>48</v>
      </c>
    </row>
    <row r="24" spans="1:3">
      <c r="A24" s="2">
        <f>A23+1/24</f>
        <v>36526.916666666613</v>
      </c>
      <c r="B24" s="1">
        <v>48</v>
      </c>
      <c r="C24" s="1">
        <f t="shared" si="1"/>
        <v>46</v>
      </c>
    </row>
    <row r="25" spans="1:3">
      <c r="A25" s="2">
        <f>A24+1/24</f>
        <v>36526.958333333278</v>
      </c>
      <c r="B25" s="1">
        <v>46</v>
      </c>
      <c r="C25" s="1">
        <f t="shared" si="1"/>
        <v>44</v>
      </c>
    </row>
    <row r="26" spans="1:3">
      <c r="A26" s="2">
        <f>A25+1/24</f>
        <v>36526.999999999942</v>
      </c>
      <c r="B26" s="1">
        <v>44</v>
      </c>
      <c r="C26" s="1">
        <f t="shared" si="1"/>
        <v>44</v>
      </c>
    </row>
    <row r="27" spans="1:3">
      <c r="A27" s="2">
        <f>A26+1/24</f>
        <v>36527.041666666606</v>
      </c>
      <c r="B27" s="1">
        <v>44</v>
      </c>
      <c r="C27" s="1">
        <v>44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House</vt:lpstr>
      <vt:lpstr>Weather</vt:lpstr>
    </vt:vector>
  </TitlesOfParts>
  <Company>PNNL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Chassin, David P</dc:creator>
  <cp:lastModifiedBy>David Chassin</cp:lastModifiedBy>
  <dcterms:created xsi:type="dcterms:W3CDTF">2013-10-22T20:08:19Z</dcterms:created>
  <dcterms:modified xsi:type="dcterms:W3CDTF">2013-11-02T16:03:00Z</dcterms:modified>
</cp:coreProperties>
</file>