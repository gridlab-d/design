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0" yWindow="0" windowWidth="29040" windowHeight="16440" tabRatio="500"/>
  </bookViews>
  <sheets>
    <sheet name="House" sheetId="1" r:id="rId1"/>
    <sheet name="Weather" sheetId="2" r:id="rId2"/>
  </sheets>
  <definedNames>
    <definedName name="_c">House!$P$3</definedName>
    <definedName name="a">House!$N$3</definedName>
    <definedName name="b">House!$O$3</definedName>
    <definedName name="b2_4ac">House!$R$3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House!$R$1</definedName>
    <definedName name="q">House!$R$2</definedName>
    <definedName name="QH">House!$I$3</definedName>
    <definedName name="rb_2_4ac">House!$R$3</definedName>
    <definedName name="rb2_4ac">House!$R$3</definedName>
    <definedName name="TC">House!$J$3</definedName>
    <definedName name="TH">House!$K$3</definedName>
    <definedName name="UA">House!$D$3</definedName>
    <definedName name="weather">Weather!$A$1:$C$27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9" i="1" l="1"/>
  <c r="Q9" i="1"/>
  <c r="J9" i="1"/>
  <c r="K9" i="1"/>
  <c r="M9" i="1"/>
  <c r="O9" i="1"/>
  <c r="C9" i="1"/>
  <c r="O3" i="1"/>
  <c r="P3" i="1"/>
  <c r="N3" i="1"/>
  <c r="H9" i="1"/>
  <c r="L9" i="1"/>
  <c r="N9" i="1"/>
  <c r="E9" i="1"/>
  <c r="D9" i="1"/>
  <c r="R3" i="1"/>
  <c r="R1" i="1"/>
  <c r="R2" i="1"/>
  <c r="T9" i="1"/>
  <c r="U9" i="1"/>
  <c r="W9" i="1"/>
  <c r="E10" i="1"/>
  <c r="R9" i="1"/>
  <c r="S9" i="1"/>
  <c r="V9" i="1"/>
  <c r="D10" i="1"/>
  <c r="G10" i="1"/>
  <c r="H10" i="1"/>
  <c r="F9" i="1"/>
  <c r="B10" i="1"/>
  <c r="O10" i="1"/>
  <c r="T10" i="1"/>
  <c r="A10" i="1"/>
  <c r="U10" i="1"/>
  <c r="L10" i="1"/>
  <c r="C10" i="1"/>
  <c r="M10" i="1"/>
  <c r="K10" i="1"/>
  <c r="J10" i="1"/>
  <c r="V10" i="1"/>
  <c r="W10" i="1"/>
  <c r="E11" i="1"/>
  <c r="F10" i="1"/>
  <c r="B11" i="1"/>
  <c r="D11" i="1"/>
  <c r="G11" i="1"/>
  <c r="H11" i="1"/>
  <c r="O11" i="1"/>
  <c r="T11" i="1"/>
  <c r="A11" i="1"/>
  <c r="U11" i="1"/>
  <c r="C11" i="1"/>
  <c r="M11" i="1"/>
  <c r="K11" i="1"/>
  <c r="L11" i="1"/>
  <c r="J11" i="1"/>
  <c r="V11" i="1"/>
  <c r="W11" i="1"/>
  <c r="E12" i="1"/>
  <c r="F11" i="1"/>
  <c r="B12" i="1"/>
  <c r="D12" i="1"/>
  <c r="G12" i="1"/>
  <c r="H12" i="1"/>
  <c r="O12" i="1"/>
  <c r="T12" i="1"/>
  <c r="A12" i="1"/>
  <c r="U12" i="1"/>
  <c r="C12" i="1"/>
  <c r="M12" i="1"/>
  <c r="K12" i="1"/>
  <c r="L12" i="1"/>
  <c r="J12" i="1"/>
  <c r="V12" i="1"/>
  <c r="W12" i="1"/>
  <c r="E13" i="1"/>
  <c r="F12" i="1"/>
  <c r="B13" i="1"/>
  <c r="D13" i="1"/>
  <c r="G13" i="1"/>
  <c r="H13" i="1"/>
  <c r="O13" i="1"/>
  <c r="T13" i="1"/>
  <c r="A13" i="1"/>
  <c r="U13" i="1"/>
  <c r="C13" i="1"/>
  <c r="M13" i="1"/>
  <c r="K13" i="1"/>
  <c r="L13" i="1"/>
  <c r="J13" i="1"/>
  <c r="V13" i="1"/>
  <c r="W13" i="1"/>
  <c r="N10" i="1"/>
  <c r="N11" i="1"/>
  <c r="N12" i="1"/>
  <c r="A3" i="2"/>
  <c r="A4" i="2"/>
  <c r="A5" i="2"/>
  <c r="A6" i="2"/>
  <c r="A7" i="2"/>
  <c r="A8" i="2"/>
  <c r="A9" i="2"/>
  <c r="A10" i="2"/>
  <c r="A11" i="2"/>
  <c r="A12" i="2"/>
  <c r="A13" i="2"/>
  <c r="A14" i="2"/>
  <c r="B9" i="1"/>
  <c r="C2" i="2"/>
  <c r="C3" i="2"/>
  <c r="F13" i="1"/>
  <c r="B14" i="1"/>
  <c r="N13" i="1"/>
  <c r="D14" i="1"/>
  <c r="G14" i="1"/>
  <c r="T14" i="1"/>
  <c r="E14" i="1"/>
  <c r="H14" i="1"/>
  <c r="O14" i="1"/>
  <c r="A14" i="1"/>
  <c r="U14" i="1"/>
  <c r="C14" i="1"/>
  <c r="F14" i="1"/>
  <c r="B15" i="1"/>
  <c r="M14" i="1"/>
  <c r="K14" i="1"/>
  <c r="L14" i="1"/>
  <c r="J14" i="1"/>
  <c r="N14" i="1"/>
  <c r="V14" i="1"/>
  <c r="D15" i="1"/>
  <c r="G15" i="1"/>
  <c r="T15" i="1"/>
  <c r="W14" i="1"/>
  <c r="E15" i="1"/>
  <c r="H15" i="1"/>
  <c r="O15" i="1"/>
  <c r="A15" i="1"/>
  <c r="U15" i="1"/>
  <c r="C4" i="2"/>
  <c r="C15" i="1"/>
  <c r="F15" i="1"/>
  <c r="B16" i="1"/>
  <c r="M15" i="1"/>
  <c r="K15" i="1"/>
  <c r="L15" i="1"/>
  <c r="J15" i="1"/>
  <c r="N15" i="1"/>
  <c r="V15" i="1"/>
  <c r="D16" i="1"/>
  <c r="G16" i="1"/>
  <c r="T16" i="1"/>
  <c r="W15" i="1"/>
  <c r="E16" i="1"/>
  <c r="H16" i="1"/>
  <c r="O16" i="1"/>
  <c r="A16" i="1"/>
  <c r="U16" i="1"/>
  <c r="C16" i="1"/>
  <c r="F16" i="1"/>
  <c r="B17" i="1"/>
  <c r="M16" i="1"/>
  <c r="K16" i="1"/>
  <c r="L16" i="1"/>
  <c r="J16" i="1"/>
  <c r="N16" i="1"/>
  <c r="V16" i="1"/>
  <c r="D17" i="1"/>
  <c r="G17" i="1"/>
  <c r="T17" i="1"/>
  <c r="W16" i="1"/>
  <c r="E17" i="1"/>
  <c r="H17" i="1"/>
  <c r="O17" i="1"/>
  <c r="A17" i="1"/>
  <c r="U17" i="1"/>
  <c r="C5" i="2"/>
  <c r="C17" i="1"/>
  <c r="F17" i="1"/>
  <c r="B18" i="1"/>
  <c r="M17" i="1"/>
  <c r="K17" i="1"/>
  <c r="L17" i="1"/>
  <c r="J17" i="1"/>
  <c r="N17" i="1"/>
  <c r="V17" i="1"/>
  <c r="D18" i="1"/>
  <c r="G18" i="1"/>
  <c r="T18" i="1"/>
  <c r="W17" i="1"/>
  <c r="E18" i="1"/>
  <c r="H18" i="1"/>
  <c r="O18" i="1"/>
  <c r="A18" i="1"/>
  <c r="U18" i="1"/>
  <c r="C18" i="1"/>
  <c r="F18" i="1"/>
  <c r="B19" i="1"/>
  <c r="M18" i="1"/>
  <c r="K18" i="1"/>
  <c r="L18" i="1"/>
  <c r="J18" i="1"/>
  <c r="N18" i="1"/>
  <c r="V18" i="1"/>
  <c r="D19" i="1"/>
  <c r="G19" i="1"/>
  <c r="T19" i="1"/>
  <c r="W18" i="1"/>
  <c r="E19" i="1"/>
  <c r="H19" i="1"/>
  <c r="O19" i="1"/>
  <c r="A19" i="1"/>
  <c r="U19" i="1"/>
  <c r="C19" i="1"/>
  <c r="F19" i="1"/>
  <c r="B20" i="1"/>
  <c r="M19" i="1"/>
  <c r="K19" i="1"/>
  <c r="L19" i="1"/>
  <c r="J19" i="1"/>
  <c r="N19" i="1"/>
  <c r="V19" i="1"/>
  <c r="D20" i="1"/>
  <c r="G20" i="1"/>
  <c r="T20" i="1"/>
  <c r="W19" i="1"/>
  <c r="E20" i="1"/>
  <c r="H20" i="1"/>
  <c r="O20" i="1"/>
  <c r="A20" i="1"/>
  <c r="U20" i="1"/>
  <c r="C6" i="2"/>
  <c r="C20" i="1"/>
  <c r="F20" i="1"/>
  <c r="B21" i="1"/>
  <c r="A21" i="1"/>
  <c r="C21" i="1"/>
  <c r="M21" i="1"/>
  <c r="K21" i="1"/>
  <c r="M20" i="1"/>
  <c r="K20" i="1"/>
  <c r="L20" i="1"/>
  <c r="J20" i="1"/>
  <c r="N20" i="1"/>
  <c r="V20" i="1"/>
  <c r="D21" i="1"/>
  <c r="G21" i="1"/>
  <c r="H21" i="1"/>
  <c r="L21" i="1"/>
  <c r="J21" i="1"/>
  <c r="N21" i="1"/>
  <c r="T21" i="1"/>
  <c r="W20" i="1"/>
  <c r="E21" i="1"/>
  <c r="O21" i="1"/>
  <c r="U21" i="1"/>
  <c r="V21" i="1"/>
  <c r="D22" i="1"/>
  <c r="F21" i="1"/>
  <c r="B22" i="1"/>
  <c r="A22" i="1"/>
  <c r="C7" i="2"/>
  <c r="C22" i="1"/>
  <c r="M22" i="1"/>
  <c r="K22" i="1"/>
  <c r="G22" i="1"/>
  <c r="H22" i="1"/>
  <c r="L22" i="1"/>
  <c r="J22" i="1"/>
  <c r="W21" i="1"/>
  <c r="E22" i="1"/>
  <c r="O22" i="1"/>
  <c r="N22" i="1"/>
  <c r="T22" i="1"/>
  <c r="U22" i="1"/>
  <c r="F22" i="1"/>
  <c r="B23" i="1"/>
  <c r="A23" i="1"/>
  <c r="C23" i="1"/>
  <c r="M23" i="1"/>
  <c r="K23" i="1"/>
  <c r="V22" i="1"/>
  <c r="D23" i="1"/>
  <c r="G23" i="1"/>
  <c r="T23" i="1"/>
  <c r="W22" i="1"/>
  <c r="E23" i="1"/>
  <c r="H23" i="1"/>
  <c r="O23" i="1"/>
  <c r="U23" i="1"/>
  <c r="F23" i="1"/>
  <c r="B24" i="1"/>
  <c r="A24" i="1"/>
  <c r="C8" i="2"/>
  <c r="C24" i="1"/>
  <c r="M24" i="1"/>
  <c r="K24" i="1"/>
  <c r="L23" i="1"/>
  <c r="J23" i="1"/>
  <c r="V23" i="1"/>
  <c r="D24" i="1"/>
  <c r="G24" i="1"/>
  <c r="T24" i="1"/>
  <c r="W23" i="1"/>
  <c r="E24" i="1"/>
  <c r="H24" i="1"/>
  <c r="O24" i="1"/>
  <c r="U24" i="1"/>
  <c r="F24" i="1"/>
  <c r="B25" i="1"/>
  <c r="A25" i="1"/>
  <c r="C25" i="1"/>
  <c r="M25" i="1"/>
  <c r="K25" i="1"/>
  <c r="L24" i="1"/>
  <c r="J24" i="1"/>
  <c r="V24" i="1"/>
  <c r="D25" i="1"/>
  <c r="G25" i="1"/>
  <c r="T25" i="1"/>
  <c r="W24" i="1"/>
  <c r="E25" i="1"/>
  <c r="H25" i="1"/>
  <c r="O25" i="1"/>
  <c r="U25" i="1"/>
  <c r="F25" i="1"/>
  <c r="B26" i="1"/>
  <c r="A26" i="1"/>
  <c r="C9" i="2"/>
  <c r="C26" i="1"/>
  <c r="M26" i="1"/>
  <c r="K26" i="1"/>
  <c r="L25" i="1"/>
  <c r="J25" i="1"/>
  <c r="V25" i="1"/>
  <c r="D26" i="1"/>
  <c r="G26" i="1"/>
  <c r="T26" i="1"/>
  <c r="W25" i="1"/>
  <c r="E26" i="1"/>
  <c r="H26" i="1"/>
  <c r="O26" i="1"/>
  <c r="U26" i="1"/>
  <c r="F26" i="1"/>
  <c r="B27" i="1"/>
  <c r="A27" i="1"/>
  <c r="C10" i="2"/>
  <c r="C27" i="1"/>
  <c r="M27" i="1"/>
  <c r="K27" i="1"/>
  <c r="L26" i="1"/>
  <c r="J26" i="1"/>
  <c r="V26" i="1"/>
  <c r="D27" i="1"/>
  <c r="G27" i="1"/>
  <c r="T27" i="1"/>
  <c r="W26" i="1"/>
  <c r="E27" i="1"/>
  <c r="H27" i="1"/>
  <c r="O27" i="1"/>
  <c r="U27" i="1"/>
  <c r="F27" i="1"/>
  <c r="B28" i="1"/>
  <c r="A28" i="1"/>
  <c r="C28" i="1"/>
  <c r="M28" i="1"/>
  <c r="K28" i="1"/>
  <c r="L27" i="1"/>
  <c r="J27" i="1"/>
  <c r="V27" i="1"/>
  <c r="D28" i="1"/>
  <c r="G28" i="1"/>
  <c r="T28" i="1"/>
  <c r="W27" i="1"/>
  <c r="E28" i="1"/>
  <c r="H28" i="1"/>
  <c r="O28" i="1"/>
  <c r="U28" i="1"/>
  <c r="F28" i="1"/>
  <c r="B29" i="1"/>
  <c r="A29" i="1"/>
  <c r="C11" i="2"/>
  <c r="C29" i="1"/>
  <c r="M29" i="1"/>
  <c r="K29" i="1"/>
  <c r="L28" i="1"/>
  <c r="J28" i="1"/>
  <c r="V28" i="1"/>
  <c r="D29" i="1"/>
  <c r="G29" i="1"/>
  <c r="T29" i="1"/>
  <c r="W28" i="1"/>
  <c r="E29" i="1"/>
  <c r="H29" i="1"/>
  <c r="O29" i="1"/>
  <c r="U29" i="1"/>
  <c r="F29" i="1"/>
  <c r="B30" i="1"/>
  <c r="A30" i="1"/>
  <c r="C30" i="1"/>
  <c r="M30" i="1"/>
  <c r="K30" i="1"/>
  <c r="L29" i="1"/>
  <c r="J29" i="1"/>
  <c r="V29" i="1"/>
  <c r="D30" i="1"/>
  <c r="G30" i="1"/>
  <c r="T30" i="1"/>
  <c r="W29" i="1"/>
  <c r="E30" i="1"/>
  <c r="H30" i="1"/>
  <c r="O30" i="1"/>
  <c r="U30" i="1"/>
  <c r="F30" i="1"/>
  <c r="B31" i="1"/>
  <c r="A31" i="1"/>
  <c r="C12" i="2"/>
  <c r="C31" i="1"/>
  <c r="M31" i="1"/>
  <c r="K31" i="1"/>
  <c r="L30" i="1"/>
  <c r="J30" i="1"/>
  <c r="V30" i="1"/>
  <c r="D31" i="1"/>
  <c r="G31" i="1"/>
  <c r="T31" i="1"/>
  <c r="W30" i="1"/>
  <c r="E31" i="1"/>
  <c r="H31" i="1"/>
  <c r="O31" i="1"/>
  <c r="U31" i="1"/>
  <c r="F31" i="1"/>
  <c r="B32" i="1"/>
  <c r="A32" i="1"/>
  <c r="C32" i="1"/>
  <c r="M32" i="1"/>
  <c r="K32" i="1"/>
  <c r="L31" i="1"/>
  <c r="J31" i="1"/>
  <c r="V31" i="1"/>
  <c r="D32" i="1"/>
  <c r="G32" i="1"/>
  <c r="T32" i="1"/>
  <c r="W31" i="1"/>
  <c r="E32" i="1"/>
  <c r="H32" i="1"/>
  <c r="O32" i="1"/>
  <c r="U32" i="1"/>
  <c r="F32" i="1"/>
  <c r="B33" i="1"/>
  <c r="A33" i="1"/>
  <c r="C13" i="2"/>
  <c r="C33" i="1"/>
  <c r="M33" i="1"/>
  <c r="K33" i="1"/>
  <c r="L32" i="1"/>
  <c r="J32" i="1"/>
  <c r="V32" i="1"/>
  <c r="D33" i="1"/>
  <c r="G33" i="1"/>
  <c r="T33" i="1"/>
  <c r="W32" i="1"/>
  <c r="E33" i="1"/>
  <c r="H33" i="1"/>
  <c r="O33" i="1"/>
  <c r="U33" i="1"/>
  <c r="F33" i="1"/>
  <c r="B34" i="1"/>
  <c r="A34" i="1"/>
  <c r="C34" i="1"/>
  <c r="M34" i="1"/>
  <c r="K34" i="1"/>
  <c r="L33" i="1"/>
  <c r="J33" i="1"/>
  <c r="V33" i="1"/>
  <c r="D34" i="1"/>
  <c r="G34" i="1"/>
  <c r="T34" i="1"/>
  <c r="W33" i="1"/>
  <c r="E34" i="1"/>
  <c r="H34" i="1"/>
  <c r="O34" i="1"/>
  <c r="U34" i="1"/>
  <c r="F34" i="1"/>
  <c r="B35" i="1"/>
  <c r="A35" i="1"/>
  <c r="C35" i="1"/>
  <c r="M35" i="1"/>
  <c r="K35" i="1"/>
  <c r="L34" i="1"/>
  <c r="J34" i="1"/>
  <c r="V34" i="1"/>
  <c r="D35" i="1"/>
  <c r="G35" i="1"/>
  <c r="T35" i="1"/>
  <c r="W34" i="1"/>
  <c r="E35" i="1"/>
  <c r="H35" i="1"/>
  <c r="O35" i="1"/>
  <c r="U35" i="1"/>
  <c r="F35" i="1"/>
  <c r="B36" i="1"/>
  <c r="A36" i="1"/>
  <c r="A15" i="2"/>
  <c r="A16" i="2"/>
  <c r="A17" i="2"/>
  <c r="A18" i="2"/>
  <c r="A19" i="2"/>
  <c r="A20" i="2"/>
  <c r="A21" i="2"/>
  <c r="C14" i="2"/>
  <c r="C36" i="1"/>
  <c r="M36" i="1"/>
  <c r="K36" i="1"/>
  <c r="L35" i="1"/>
  <c r="J35" i="1"/>
  <c r="V35" i="1"/>
  <c r="D36" i="1"/>
  <c r="G36" i="1"/>
  <c r="T36" i="1"/>
  <c r="W35" i="1"/>
  <c r="E36" i="1"/>
  <c r="H36" i="1"/>
  <c r="O36" i="1"/>
  <c r="U36" i="1"/>
  <c r="F36" i="1"/>
  <c r="B37" i="1"/>
  <c r="A37" i="1"/>
  <c r="C15" i="2"/>
  <c r="C37" i="1"/>
  <c r="M37" i="1"/>
  <c r="K37" i="1"/>
  <c r="L36" i="1"/>
  <c r="J36" i="1"/>
  <c r="V36" i="1"/>
  <c r="D37" i="1"/>
  <c r="G37" i="1"/>
  <c r="T37" i="1"/>
  <c r="W36" i="1"/>
  <c r="E37" i="1"/>
  <c r="H37" i="1"/>
  <c r="O37" i="1"/>
  <c r="U37" i="1"/>
  <c r="F37" i="1"/>
  <c r="B38" i="1"/>
  <c r="A38" i="1"/>
  <c r="C38" i="1"/>
  <c r="M38" i="1"/>
  <c r="K38" i="1"/>
  <c r="L37" i="1"/>
  <c r="J37" i="1"/>
  <c r="V37" i="1"/>
  <c r="D38" i="1"/>
  <c r="G38" i="1"/>
  <c r="T38" i="1"/>
  <c r="W37" i="1"/>
  <c r="E38" i="1"/>
  <c r="H38" i="1"/>
  <c r="O38" i="1"/>
  <c r="U38" i="1"/>
  <c r="F38" i="1"/>
  <c r="B39" i="1"/>
  <c r="A39" i="1"/>
  <c r="C39" i="1"/>
  <c r="M39" i="1"/>
  <c r="K39" i="1"/>
  <c r="L38" i="1"/>
  <c r="J38" i="1"/>
  <c r="V38" i="1"/>
  <c r="D39" i="1"/>
  <c r="G39" i="1"/>
  <c r="T39" i="1"/>
  <c r="W38" i="1"/>
  <c r="E39" i="1"/>
  <c r="H39" i="1"/>
  <c r="O39" i="1"/>
  <c r="U39" i="1"/>
  <c r="F39" i="1"/>
  <c r="B40" i="1"/>
  <c r="A40" i="1"/>
  <c r="C16" i="2"/>
  <c r="C40" i="1"/>
  <c r="M40" i="1"/>
  <c r="K40" i="1"/>
  <c r="L39" i="1"/>
  <c r="J39" i="1"/>
  <c r="V39" i="1"/>
  <c r="D40" i="1"/>
  <c r="G40" i="1"/>
  <c r="T40" i="1"/>
  <c r="W39" i="1"/>
  <c r="E40" i="1"/>
  <c r="H40" i="1"/>
  <c r="O40" i="1"/>
  <c r="U40" i="1"/>
  <c r="F40" i="1"/>
  <c r="B41" i="1"/>
  <c r="A41" i="1"/>
  <c r="C17" i="2"/>
  <c r="C41" i="1"/>
  <c r="M41" i="1"/>
  <c r="K41" i="1"/>
  <c r="L40" i="1"/>
  <c r="J40" i="1"/>
  <c r="V40" i="1"/>
  <c r="D41" i="1"/>
  <c r="G41" i="1"/>
  <c r="T41" i="1"/>
  <c r="W40" i="1"/>
  <c r="E41" i="1"/>
  <c r="H41" i="1"/>
  <c r="O41" i="1"/>
  <c r="U41" i="1"/>
  <c r="F41" i="1"/>
  <c r="B42" i="1"/>
  <c r="A42" i="1"/>
  <c r="C42" i="1"/>
  <c r="M42" i="1"/>
  <c r="K42" i="1"/>
  <c r="L41" i="1"/>
  <c r="J41" i="1"/>
  <c r="V41" i="1"/>
  <c r="D42" i="1"/>
  <c r="G42" i="1"/>
  <c r="T42" i="1"/>
  <c r="W41" i="1"/>
  <c r="E42" i="1"/>
  <c r="H42" i="1"/>
  <c r="O42" i="1"/>
  <c r="U42" i="1"/>
  <c r="F42" i="1"/>
  <c r="B43" i="1"/>
  <c r="A43" i="1"/>
  <c r="C18" i="2"/>
  <c r="C43" i="1"/>
  <c r="M43" i="1"/>
  <c r="K43" i="1"/>
  <c r="L42" i="1"/>
  <c r="J42" i="1"/>
  <c r="V42" i="1"/>
  <c r="D43" i="1"/>
  <c r="G43" i="1"/>
  <c r="T43" i="1"/>
  <c r="W42" i="1"/>
  <c r="E43" i="1"/>
  <c r="H43" i="1"/>
  <c r="O43" i="1"/>
  <c r="U43" i="1"/>
  <c r="F43" i="1"/>
  <c r="B44" i="1"/>
  <c r="A44" i="1"/>
  <c r="C44" i="1"/>
  <c r="M44" i="1"/>
  <c r="K44" i="1"/>
  <c r="L43" i="1"/>
  <c r="J43" i="1"/>
  <c r="V43" i="1"/>
  <c r="D44" i="1"/>
  <c r="G44" i="1"/>
  <c r="T44" i="1"/>
  <c r="W43" i="1"/>
  <c r="E44" i="1"/>
  <c r="H44" i="1"/>
  <c r="O44" i="1"/>
  <c r="U44" i="1"/>
  <c r="F44" i="1"/>
  <c r="B45" i="1"/>
  <c r="A45" i="1"/>
  <c r="C45" i="1"/>
  <c r="M45" i="1"/>
  <c r="K45" i="1"/>
  <c r="L44" i="1"/>
  <c r="J44" i="1"/>
  <c r="V44" i="1"/>
  <c r="D45" i="1"/>
  <c r="G45" i="1"/>
  <c r="T45" i="1"/>
  <c r="W44" i="1"/>
  <c r="E45" i="1"/>
  <c r="H45" i="1"/>
  <c r="O45" i="1"/>
  <c r="U45" i="1"/>
  <c r="F45" i="1"/>
  <c r="B46" i="1"/>
  <c r="A46" i="1"/>
  <c r="C19" i="2"/>
  <c r="C46" i="1"/>
  <c r="M46" i="1"/>
  <c r="K46" i="1"/>
  <c r="L45" i="1"/>
  <c r="J45" i="1"/>
  <c r="V45" i="1"/>
  <c r="D46" i="1"/>
  <c r="G46" i="1"/>
  <c r="T46" i="1"/>
  <c r="W45" i="1"/>
  <c r="E46" i="1"/>
  <c r="H46" i="1"/>
  <c r="O46" i="1"/>
  <c r="U46" i="1"/>
  <c r="F46" i="1"/>
  <c r="B47" i="1"/>
  <c r="A47" i="1"/>
  <c r="C20" i="2"/>
  <c r="C47" i="1"/>
  <c r="M47" i="1"/>
  <c r="K47" i="1"/>
  <c r="L46" i="1"/>
  <c r="J46" i="1"/>
  <c r="V46" i="1"/>
  <c r="D47" i="1"/>
  <c r="G47" i="1"/>
  <c r="T47" i="1"/>
  <c r="W46" i="1"/>
  <c r="E47" i="1"/>
  <c r="H47" i="1"/>
  <c r="O47" i="1"/>
  <c r="U47" i="1"/>
  <c r="F47" i="1"/>
  <c r="B48" i="1"/>
  <c r="A48" i="1"/>
  <c r="C48" i="1"/>
  <c r="M48" i="1"/>
  <c r="K48" i="1"/>
  <c r="L47" i="1"/>
  <c r="J47" i="1"/>
  <c r="V47" i="1"/>
  <c r="D48" i="1"/>
  <c r="G48" i="1"/>
  <c r="T48" i="1"/>
  <c r="W47" i="1"/>
  <c r="E48" i="1"/>
  <c r="H48" i="1"/>
  <c r="O48" i="1"/>
  <c r="U48" i="1"/>
  <c r="F48" i="1"/>
  <c r="B49" i="1"/>
  <c r="A49" i="1"/>
  <c r="C49" i="1"/>
  <c r="M49" i="1"/>
  <c r="K49" i="1"/>
  <c r="L48" i="1"/>
  <c r="J48" i="1"/>
  <c r="V48" i="1"/>
  <c r="D49" i="1"/>
  <c r="G49" i="1"/>
  <c r="T49" i="1"/>
  <c r="W48" i="1"/>
  <c r="E49" i="1"/>
  <c r="H49" i="1"/>
  <c r="O49" i="1"/>
  <c r="U49" i="1"/>
  <c r="F49" i="1"/>
  <c r="B50" i="1"/>
  <c r="A50" i="1"/>
  <c r="A22" i="2"/>
  <c r="A23" i="2"/>
  <c r="A24" i="2"/>
  <c r="C21" i="2"/>
  <c r="C50" i="1"/>
  <c r="M50" i="1"/>
  <c r="K50" i="1"/>
  <c r="L49" i="1"/>
  <c r="J49" i="1"/>
  <c r="V49" i="1"/>
  <c r="D50" i="1"/>
  <c r="G50" i="1"/>
  <c r="T50" i="1"/>
  <c r="W49" i="1"/>
  <c r="E50" i="1"/>
  <c r="H50" i="1"/>
  <c r="O50" i="1"/>
  <c r="U50" i="1"/>
  <c r="F50" i="1"/>
  <c r="B51" i="1"/>
  <c r="A51" i="1"/>
  <c r="C22" i="2"/>
  <c r="C51" i="1"/>
  <c r="M51" i="1"/>
  <c r="K51" i="1"/>
  <c r="L50" i="1"/>
  <c r="J50" i="1"/>
  <c r="V50" i="1"/>
  <c r="D51" i="1"/>
  <c r="G51" i="1"/>
  <c r="T51" i="1"/>
  <c r="W50" i="1"/>
  <c r="E51" i="1"/>
  <c r="H51" i="1"/>
  <c r="O51" i="1"/>
  <c r="U51" i="1"/>
  <c r="F51" i="1"/>
  <c r="B52" i="1"/>
  <c r="A52" i="1"/>
  <c r="C52" i="1"/>
  <c r="M52" i="1"/>
  <c r="K52" i="1"/>
  <c r="L51" i="1"/>
  <c r="J51" i="1"/>
  <c r="V51" i="1"/>
  <c r="D52" i="1"/>
  <c r="G52" i="1"/>
  <c r="T52" i="1"/>
  <c r="W51" i="1"/>
  <c r="E52" i="1"/>
  <c r="H52" i="1"/>
  <c r="O52" i="1"/>
  <c r="U52" i="1"/>
  <c r="F52" i="1"/>
  <c r="B53" i="1"/>
  <c r="A53" i="1"/>
  <c r="C23" i="2"/>
  <c r="C53" i="1"/>
  <c r="M53" i="1"/>
  <c r="K53" i="1"/>
  <c r="L52" i="1"/>
  <c r="J52" i="1"/>
  <c r="V52" i="1"/>
  <c r="D53" i="1"/>
  <c r="G53" i="1"/>
  <c r="T53" i="1"/>
  <c r="W52" i="1"/>
  <c r="E53" i="1"/>
  <c r="H53" i="1"/>
  <c r="O53" i="1"/>
  <c r="U53" i="1"/>
  <c r="F53" i="1"/>
  <c r="B54" i="1"/>
  <c r="A54" i="1"/>
  <c r="C54" i="1"/>
  <c r="M54" i="1"/>
  <c r="K54" i="1"/>
  <c r="L53" i="1"/>
  <c r="J53" i="1"/>
  <c r="V53" i="1"/>
  <c r="D54" i="1"/>
  <c r="G54" i="1"/>
  <c r="T54" i="1"/>
  <c r="W53" i="1"/>
  <c r="E54" i="1"/>
  <c r="H54" i="1"/>
  <c r="O54" i="1"/>
  <c r="U54" i="1"/>
  <c r="F54" i="1"/>
  <c r="B55" i="1"/>
  <c r="A55" i="1"/>
  <c r="C55" i="1"/>
  <c r="M55" i="1"/>
  <c r="K55" i="1"/>
  <c r="L54" i="1"/>
  <c r="J54" i="1"/>
  <c r="V54" i="1"/>
  <c r="D55" i="1"/>
  <c r="G55" i="1"/>
  <c r="T55" i="1"/>
  <c r="W54" i="1"/>
  <c r="E55" i="1"/>
  <c r="H55" i="1"/>
  <c r="O55" i="1"/>
  <c r="U55" i="1"/>
  <c r="F55" i="1"/>
  <c r="B56" i="1"/>
  <c r="A56" i="1"/>
  <c r="A25" i="2"/>
  <c r="A26" i="2"/>
  <c r="C24" i="2"/>
  <c r="C56" i="1"/>
  <c r="M56" i="1"/>
  <c r="K56" i="1"/>
  <c r="L55" i="1"/>
  <c r="J55" i="1"/>
  <c r="V55" i="1"/>
  <c r="D56" i="1"/>
  <c r="G56" i="1"/>
  <c r="T56" i="1"/>
  <c r="W55" i="1"/>
  <c r="E56" i="1"/>
  <c r="H56" i="1"/>
  <c r="O56" i="1"/>
  <c r="U56" i="1"/>
  <c r="F56" i="1"/>
  <c r="B57" i="1"/>
  <c r="A57" i="1"/>
  <c r="C57" i="1"/>
  <c r="M57" i="1"/>
  <c r="K57" i="1"/>
  <c r="L56" i="1"/>
  <c r="J56" i="1"/>
  <c r="V56" i="1"/>
  <c r="D57" i="1"/>
  <c r="G57" i="1"/>
  <c r="T57" i="1"/>
  <c r="W56" i="1"/>
  <c r="E57" i="1"/>
  <c r="H57" i="1"/>
  <c r="O57" i="1"/>
  <c r="U57" i="1"/>
  <c r="F57" i="1"/>
  <c r="B58" i="1"/>
  <c r="A58" i="1"/>
  <c r="C25" i="2"/>
  <c r="C58" i="1"/>
  <c r="M58" i="1"/>
  <c r="K58" i="1"/>
  <c r="L57" i="1"/>
  <c r="J57" i="1"/>
  <c r="V57" i="1"/>
  <c r="D58" i="1"/>
  <c r="G58" i="1"/>
  <c r="T58" i="1"/>
  <c r="W57" i="1"/>
  <c r="E58" i="1"/>
  <c r="H58" i="1"/>
  <c r="O58" i="1"/>
  <c r="U58" i="1"/>
  <c r="F58" i="1"/>
  <c r="B59" i="1"/>
  <c r="A59" i="1"/>
  <c r="A27" i="2"/>
  <c r="C26" i="2"/>
  <c r="C59" i="1"/>
  <c r="M59" i="1"/>
  <c r="K59" i="1"/>
  <c r="L58" i="1"/>
  <c r="J58" i="1"/>
  <c r="V58" i="1"/>
  <c r="D59" i="1"/>
  <c r="G59" i="1"/>
  <c r="T59" i="1"/>
  <c r="W58" i="1"/>
  <c r="E59" i="1"/>
  <c r="H59" i="1"/>
  <c r="O59" i="1"/>
  <c r="U59" i="1"/>
  <c r="F59" i="1"/>
  <c r="B60" i="1"/>
  <c r="A60" i="1"/>
  <c r="C60" i="1"/>
  <c r="M60" i="1"/>
  <c r="K60" i="1"/>
  <c r="L59" i="1"/>
  <c r="J59" i="1"/>
  <c r="V59" i="1"/>
  <c r="D60" i="1"/>
  <c r="G60" i="1"/>
  <c r="T60" i="1"/>
  <c r="W59" i="1"/>
  <c r="E60" i="1"/>
  <c r="H60" i="1"/>
  <c r="O60" i="1"/>
  <c r="U60" i="1"/>
  <c r="F60" i="1"/>
  <c r="B61" i="1"/>
  <c r="A61" i="1"/>
  <c r="C61" i="1"/>
  <c r="M61" i="1"/>
  <c r="K61" i="1"/>
  <c r="L60" i="1"/>
  <c r="J60" i="1"/>
  <c r="V60" i="1"/>
  <c r="D61" i="1"/>
  <c r="G61" i="1"/>
  <c r="T61" i="1"/>
  <c r="W60" i="1"/>
  <c r="E61" i="1"/>
  <c r="H61" i="1"/>
  <c r="O61" i="1"/>
  <c r="U61" i="1"/>
  <c r="F61" i="1"/>
  <c r="B62" i="1"/>
  <c r="A62" i="1"/>
  <c r="C62" i="1"/>
  <c r="M62" i="1"/>
  <c r="K62" i="1"/>
  <c r="L61" i="1"/>
  <c r="J61" i="1"/>
  <c r="V61" i="1"/>
  <c r="D62" i="1"/>
  <c r="G62" i="1"/>
  <c r="T62" i="1"/>
  <c r="W61" i="1"/>
  <c r="E62" i="1"/>
  <c r="H62" i="1"/>
  <c r="O62" i="1"/>
  <c r="U62" i="1"/>
  <c r="F62" i="1"/>
  <c r="B63" i="1"/>
  <c r="A63" i="1"/>
  <c r="C63" i="1"/>
  <c r="M63" i="1"/>
  <c r="K63" i="1"/>
  <c r="L62" i="1"/>
  <c r="J62" i="1"/>
  <c r="V62" i="1"/>
  <c r="D63" i="1"/>
  <c r="G63" i="1"/>
  <c r="T63" i="1"/>
  <c r="W62" i="1"/>
  <c r="E63" i="1"/>
  <c r="H63" i="1"/>
  <c r="O63" i="1"/>
  <c r="U63" i="1"/>
  <c r="F63" i="1"/>
  <c r="B64" i="1"/>
  <c r="A64" i="1"/>
  <c r="C64" i="1"/>
  <c r="M64" i="1"/>
  <c r="K64" i="1"/>
  <c r="L63" i="1"/>
  <c r="J63" i="1"/>
  <c r="V63" i="1"/>
  <c r="D64" i="1"/>
  <c r="G64" i="1"/>
  <c r="T64" i="1"/>
  <c r="W63" i="1"/>
  <c r="E64" i="1"/>
  <c r="H64" i="1"/>
  <c r="O64" i="1"/>
  <c r="U64" i="1"/>
  <c r="F64" i="1"/>
  <c r="B65" i="1"/>
  <c r="A65" i="1"/>
  <c r="C65" i="1"/>
  <c r="M65" i="1"/>
  <c r="K65" i="1"/>
  <c r="L64" i="1"/>
  <c r="J64" i="1"/>
  <c r="V64" i="1"/>
  <c r="D65" i="1"/>
  <c r="G65" i="1"/>
  <c r="T65" i="1"/>
  <c r="W64" i="1"/>
  <c r="E65" i="1"/>
  <c r="H65" i="1"/>
  <c r="O65" i="1"/>
  <c r="U65" i="1"/>
  <c r="F65" i="1"/>
  <c r="B66" i="1"/>
  <c r="A66" i="1"/>
  <c r="C66" i="1"/>
  <c r="M66" i="1"/>
  <c r="K66" i="1"/>
  <c r="L65" i="1"/>
  <c r="J65" i="1"/>
  <c r="V65" i="1"/>
  <c r="D66" i="1"/>
  <c r="G66" i="1"/>
  <c r="T66" i="1"/>
  <c r="W65" i="1"/>
  <c r="E66" i="1"/>
  <c r="H66" i="1"/>
  <c r="O66" i="1"/>
  <c r="U66" i="1"/>
  <c r="F66" i="1"/>
  <c r="B67" i="1"/>
  <c r="A67" i="1"/>
  <c r="C67" i="1"/>
  <c r="M67" i="1"/>
  <c r="K67" i="1"/>
  <c r="L66" i="1"/>
  <c r="J66" i="1"/>
  <c r="V66" i="1"/>
  <c r="D67" i="1"/>
  <c r="G67" i="1"/>
  <c r="T67" i="1"/>
  <c r="W66" i="1"/>
  <c r="E67" i="1"/>
  <c r="H67" i="1"/>
  <c r="O67" i="1"/>
  <c r="U67" i="1"/>
  <c r="F67" i="1"/>
  <c r="B68" i="1"/>
  <c r="A68" i="1"/>
  <c r="C68" i="1"/>
  <c r="M68" i="1"/>
  <c r="K68" i="1"/>
  <c r="L67" i="1"/>
  <c r="J67" i="1"/>
  <c r="V67" i="1"/>
  <c r="D68" i="1"/>
  <c r="G68" i="1"/>
  <c r="T68" i="1"/>
  <c r="W67" i="1"/>
  <c r="E68" i="1"/>
  <c r="H68" i="1"/>
  <c r="O68" i="1"/>
  <c r="U68" i="1"/>
  <c r="F68" i="1"/>
  <c r="B69" i="1"/>
  <c r="A69" i="1"/>
  <c r="C69" i="1"/>
  <c r="M69" i="1"/>
  <c r="K69" i="1"/>
  <c r="L68" i="1"/>
  <c r="J68" i="1"/>
  <c r="V68" i="1"/>
  <c r="D69" i="1"/>
  <c r="G69" i="1"/>
  <c r="T69" i="1"/>
  <c r="W68" i="1"/>
  <c r="E69" i="1"/>
  <c r="H69" i="1"/>
  <c r="O69" i="1"/>
  <c r="U69" i="1"/>
  <c r="F69" i="1"/>
  <c r="B70" i="1"/>
  <c r="A70" i="1"/>
  <c r="C70" i="1"/>
  <c r="M70" i="1"/>
  <c r="K70" i="1"/>
  <c r="L69" i="1"/>
  <c r="J69" i="1"/>
  <c r="V69" i="1"/>
  <c r="D70" i="1"/>
  <c r="G70" i="1"/>
  <c r="T70" i="1"/>
  <c r="W69" i="1"/>
  <c r="E70" i="1"/>
  <c r="H70" i="1"/>
  <c r="O70" i="1"/>
  <c r="U70" i="1"/>
  <c r="F70" i="1"/>
  <c r="B71" i="1"/>
  <c r="A71" i="1"/>
  <c r="C71" i="1"/>
  <c r="M71" i="1"/>
  <c r="K71" i="1"/>
  <c r="L70" i="1"/>
  <c r="J70" i="1"/>
  <c r="V70" i="1"/>
  <c r="D71" i="1"/>
  <c r="G71" i="1"/>
  <c r="T71" i="1"/>
  <c r="W70" i="1"/>
  <c r="E71" i="1"/>
  <c r="H71" i="1"/>
  <c r="O71" i="1"/>
  <c r="U71" i="1"/>
  <c r="F71" i="1"/>
  <c r="B72" i="1"/>
  <c r="A72" i="1"/>
  <c r="C72" i="1"/>
  <c r="M72" i="1"/>
  <c r="K72" i="1"/>
  <c r="L71" i="1"/>
  <c r="J71" i="1"/>
  <c r="V71" i="1"/>
  <c r="D72" i="1"/>
  <c r="G72" i="1"/>
  <c r="T72" i="1"/>
  <c r="W71" i="1"/>
  <c r="E72" i="1"/>
  <c r="H72" i="1"/>
  <c r="O72" i="1"/>
  <c r="U72" i="1"/>
  <c r="F72" i="1"/>
  <c r="B73" i="1"/>
  <c r="A73" i="1"/>
  <c r="C73" i="1"/>
  <c r="M73" i="1"/>
  <c r="K73" i="1"/>
  <c r="L72" i="1"/>
  <c r="J72" i="1"/>
  <c r="V72" i="1"/>
  <c r="D73" i="1"/>
  <c r="W72" i="1"/>
  <c r="E73" i="1"/>
  <c r="G73" i="1"/>
  <c r="H73" i="1"/>
  <c r="O73" i="1"/>
  <c r="L73" i="1"/>
  <c r="J73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T73" i="1"/>
  <c r="U73" i="1"/>
  <c r="W73" i="1"/>
  <c r="V73" i="1"/>
  <c r="F73" i="1"/>
</calcChain>
</file>

<file path=xl/sharedStrings.xml><?xml version="1.0" encoding="utf-8"?>
<sst xmlns="http://schemas.openxmlformats.org/spreadsheetml/2006/main" count="55" uniqueCount="53">
  <si>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</si>
  <si>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</si>
  <si>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</si>
  <si>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</si>
  <si>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</si>
  <si>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</si>
  <si>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</si>
  <si>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</si>
  <si>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</si>
  <si>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</si>
  <si>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</si>
  <si>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</si>
  <si>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</si>
  <si>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</si>
  <si>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</si>
  <si>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</si>
  <si>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</si>
  <si>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</si>
  <si>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</si>
  <si>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</si>
  <si>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</si>
  <si>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A</t>
  </si>
  <si>
    <t>B</t>
  </si>
  <si>
    <t>C</t>
  </si>
  <si>
    <t>D</t>
  </si>
  <si>
    <t>Mode</t>
  </si>
  <si>
    <t>HVAC</t>
  </si>
  <si>
    <t>Solution parameters</t>
  </si>
  <si>
    <t>Solution variables</t>
  </si>
  <si>
    <t>dTO</t>
  </si>
  <si>
    <t>QA</t>
  </si>
  <si>
    <t>QM</t>
  </si>
  <si>
    <t>f0</t>
  </si>
  <si>
    <t>g0</t>
  </si>
  <si>
    <t>h0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</si>
  <si>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</si>
  <si>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</si>
  <si>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</si>
  <si>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</si>
  <si>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</si>
  <si>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</si>
  <si>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</si>
  <si>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</si>
  <si>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</si>
  <si>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Dh</t>
  </si>
  <si>
    <t>Dg</t>
  </si>
  <si>
    <t>p=</t>
  </si>
  <si>
    <t>q=</t>
  </si>
  <si>
    <t>rb2_4ac=</t>
  </si>
  <si>
    <t>Dt</t>
  </si>
  <si>
    <t>TA(Dt)</t>
  </si>
  <si>
    <t>TM(Dt)</t>
  </si>
  <si>
    <t>NOTE: This solution is not correct (see wiki page ETP Closed Form Solution for details)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</si>
</sst>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  <font>
      <b/>
      <sz val="12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Border="1"/>
    <xf numFmtId="0" fontId="5" fillId="0" borderId="0" xfId="0" applyFont="1" applyBorder="1"/>
    <xf numFmtId="22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5" fillId="0" borderId="0" xfId="0" applyNumberFormat="1" applyFont="1"/>
    <xf numFmtId="1" fontId="4" fillId="0" borderId="0" xfId="0" applyNumberFormat="1" applyFont="1" applyBorder="1" applyAlignment="1">
      <alignment horizontal="center"/>
    </xf>
    <xf numFmtId="1" fontId="5" fillId="0" borderId="0" xfId="0" applyNumberFormat="1" applyFont="1"/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1" fontId="4" fillId="2" borderId="6" xfId="0" applyNumberFormat="1" applyFont="1" applyFill="1" applyBorder="1" applyAlignment="1">
      <alignment horizontal="center"/>
    </xf>
    <xf numFmtId="1" fontId="4" fillId="2" borderId="7" xfId="0" applyNumberFormat="1" applyFont="1" applyFill="1" applyBorder="1" applyAlignment="1">
      <alignment horizontal="center"/>
    </xf>
    <xf numFmtId="1" fontId="4" fillId="2" borderId="5" xfId="0" applyNumberFormat="1" applyFont="1" applyFill="1" applyBorder="1" applyAlignment="1">
      <alignment horizontal="center"/>
    </xf>
    <xf numFmtId="1" fontId="4" fillId="0" borderId="0" xfId="0" applyNumberFormat="1" applyFont="1" applyAlignment="1">
      <alignment horizontal="center"/>
    </xf>
    <xf numFmtId="2" fontId="5" fillId="0" borderId="0" xfId="0" applyNumberFormat="1" applyFont="1"/>
  </cellXfs>
  <cellStyles count="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36526.002671443428</c:v>
                </c:pt>
                <c:pt idx="2">
                  <c:v>36526.005255338168</c:v>
                </c:pt>
                <c:pt idx="3">
                  <c:v>36526.041490933545</c:v>
                </c:pt>
                <c:pt idx="4">
                  <c:v>36526.041664544653</c:v>
                </c:pt>
                <c:pt idx="5">
                  <c:v>36526.076123280291</c:v>
                </c:pt>
                <c:pt idx="6">
                  <c:v>36526.083333928436</c:v>
                </c:pt>
                <c:pt idx="7">
                  <c:v>36526.11607255938</c:v>
                </c:pt>
                <c:pt idx="8">
                  <c:v>36526.124996170489</c:v>
                </c:pt>
                <c:pt idx="9">
                  <c:v>36526.15584958002</c:v>
                </c:pt>
                <c:pt idx="10">
                  <c:v>36526.166671339277</c:v>
                </c:pt>
                <c:pt idx="11">
                  <c:v>36526.195648020832</c:v>
                </c:pt>
                <c:pt idx="12">
                  <c:v>36526.208333206014</c:v>
                </c:pt>
                <c:pt idx="13">
                  <c:v>36526.234732109588</c:v>
                </c:pt>
                <c:pt idx="14">
                  <c:v>36526.249998313295</c:v>
                </c:pt>
                <c:pt idx="15">
                  <c:v>36526.275534044471</c:v>
                </c:pt>
                <c:pt idx="16">
                  <c:v>36526.291668303733</c:v>
                </c:pt>
                <c:pt idx="17">
                  <c:v>36526.315226798441</c:v>
                </c:pt>
                <c:pt idx="18">
                  <c:v>36526.333328650289</c:v>
                </c:pt>
                <c:pt idx="19">
                  <c:v>36526.355938963432</c:v>
                </c:pt>
                <c:pt idx="20">
                  <c:v>36526.375001463435</c:v>
                </c:pt>
                <c:pt idx="21">
                  <c:v>36526.398222177406</c:v>
                </c:pt>
                <c:pt idx="22">
                  <c:v>36526.416671251478</c:v>
                </c:pt>
                <c:pt idx="23">
                  <c:v>36526.442080657071</c:v>
                </c:pt>
                <c:pt idx="24">
                  <c:v>36526.458330657071</c:v>
                </c:pt>
                <c:pt idx="25">
                  <c:v>36526.486655889537</c:v>
                </c:pt>
                <c:pt idx="26">
                  <c:v>36526.500000796943</c:v>
                </c:pt>
                <c:pt idx="27">
                  <c:v>36526.529920738045</c:v>
                </c:pt>
                <c:pt idx="28">
                  <c:v>36526.541668423233</c:v>
                </c:pt>
                <c:pt idx="29">
                  <c:v>36526.57400738517</c:v>
                </c:pt>
                <c:pt idx="30">
                  <c:v>36526.583336088872</c:v>
                </c:pt>
                <c:pt idx="31">
                  <c:v>36526.615633387344</c:v>
                </c:pt>
                <c:pt idx="32">
                  <c:v>36526.624996813269</c:v>
                </c:pt>
                <c:pt idx="33">
                  <c:v>36526.659771701838</c:v>
                </c:pt>
                <c:pt idx="34">
                  <c:v>36526.666669849983</c:v>
                </c:pt>
                <c:pt idx="35">
                  <c:v>36526.706137532172</c:v>
                </c:pt>
                <c:pt idx="36">
                  <c:v>36526.708336606243</c:v>
                </c:pt>
                <c:pt idx="37">
                  <c:v>36526.748225365656</c:v>
                </c:pt>
                <c:pt idx="38">
                  <c:v>36526.749996198989</c:v>
                </c:pt>
                <c:pt idx="39">
                  <c:v>36526.786669785244</c:v>
                </c:pt>
                <c:pt idx="40">
                  <c:v>36526.791669785242</c:v>
                </c:pt>
                <c:pt idx="41">
                  <c:v>36526.827482074536</c:v>
                </c:pt>
                <c:pt idx="42">
                  <c:v>36526.833338556018</c:v>
                </c:pt>
                <c:pt idx="43">
                  <c:v>36526.867213000412</c:v>
                </c:pt>
                <c:pt idx="44">
                  <c:v>36526.875002352266</c:v>
                </c:pt>
                <c:pt idx="45">
                  <c:v>36526.909948249428</c:v>
                </c:pt>
                <c:pt idx="46">
                  <c:v>36526.916661212388</c:v>
                </c:pt>
                <c:pt idx="47">
                  <c:v>36526.951825695076</c:v>
                </c:pt>
                <c:pt idx="48">
                  <c:v>36526.958330324705</c:v>
                </c:pt>
                <c:pt idx="49">
                  <c:v>36526.991545357581</c:v>
                </c:pt>
                <c:pt idx="50">
                  <c:v>36526.999994431659</c:v>
                </c:pt>
                <c:pt idx="51">
                  <c:v>36527.031330842583</c:v>
                </c:pt>
                <c:pt idx="52">
                  <c:v>36527.041666490732</c:v>
                </c:pt>
                <c:pt idx="53">
                  <c:v>36527.068306885936</c:v>
                </c:pt>
                <c:pt idx="54">
                  <c:v>36527.083330034082</c:v>
                </c:pt>
                <c:pt idx="55">
                  <c:v>36527.109970429286</c:v>
                </c:pt>
                <c:pt idx="56">
                  <c:v>36527.125005151509</c:v>
                </c:pt>
                <c:pt idx="57">
                  <c:v>36527.151645546714</c:v>
                </c:pt>
                <c:pt idx="58">
                  <c:v>36527.166668694859</c:v>
                </c:pt>
                <c:pt idx="59">
                  <c:v>36527.193309090064</c:v>
                </c:pt>
                <c:pt idx="60">
                  <c:v>36527.20833223821</c:v>
                </c:pt>
                <c:pt idx="61">
                  <c:v>36527.234972633414</c:v>
                </c:pt>
                <c:pt idx="62">
                  <c:v>36527.24999578156</c:v>
                </c:pt>
                <c:pt idx="63">
                  <c:v>36527.276636176764</c:v>
                </c:pt>
                <c:pt idx="64">
                  <c:v>36527.291670898987</c:v>
                </c:pt>
              </c:numCache>
            </c:numRef>
          </c:xVal>
          <c:yVal>
            <c:numRef>
              <c:f>House!$B$9:$B$73</c:f>
              <c:numCache>
                <c:formatCode>0.00</c:formatCode>
                <c:ptCount val="65"/>
                <c:pt idx="0">
                  <c:v>50</c:v>
                </c:pt>
                <c:pt idx="1">
                  <c:v>49.871770715571749</c:v>
                </c:pt>
                <c:pt idx="2">
                  <c:v>49.747743767894079</c:v>
                </c:pt>
                <c:pt idx="3">
                  <c:v>48.008435189655877</c:v>
                </c:pt>
                <c:pt idx="4">
                  <c:v>48.000101856322544</c:v>
                </c:pt>
                <c:pt idx="5">
                  <c:v>46.346082545656067</c:v>
                </c:pt>
                <c:pt idx="6">
                  <c:v>45.999971434544953</c:v>
                </c:pt>
                <c:pt idx="7">
                  <c:v>44.428517149323795</c:v>
                </c:pt>
                <c:pt idx="8">
                  <c:v>44.000183815990461</c:v>
                </c:pt>
                <c:pt idx="9">
                  <c:v>42.519220158631299</c:v>
                </c:pt>
                <c:pt idx="10">
                  <c:v>41.999775714186853</c:v>
                </c:pt>
                <c:pt idx="11">
                  <c:v>41.304335356871654</c:v>
                </c:pt>
                <c:pt idx="12">
                  <c:v>40.999890912427212</c:v>
                </c:pt>
                <c:pt idx="13">
                  <c:v>40.366317226600614</c:v>
                </c:pt>
                <c:pt idx="14">
                  <c:v>39.999928337711722</c:v>
                </c:pt>
                <c:pt idx="15">
                  <c:v>39.387070789399772</c:v>
                </c:pt>
                <c:pt idx="16">
                  <c:v>39.387070789399772</c:v>
                </c:pt>
                <c:pt idx="17">
                  <c:v>40.517878535198683</c:v>
                </c:pt>
                <c:pt idx="18">
                  <c:v>41.386767424087573</c:v>
                </c:pt>
                <c:pt idx="19">
                  <c:v>42.472062454898563</c:v>
                </c:pt>
                <c:pt idx="20">
                  <c:v>43.844562454898565</c:v>
                </c:pt>
                <c:pt idx="21">
                  <c:v>45.516453860601672</c:v>
                </c:pt>
                <c:pt idx="22">
                  <c:v>46.844787193935005</c:v>
                </c:pt>
                <c:pt idx="23">
                  <c:v>48.064438662321059</c:v>
                </c:pt>
                <c:pt idx="24">
                  <c:v>48.84443866232106</c:v>
                </c:pt>
                <c:pt idx="25">
                  <c:v>50.204049820570177</c:v>
                </c:pt>
                <c:pt idx="26">
                  <c:v>50.844605376125735</c:v>
                </c:pt>
                <c:pt idx="27">
                  <c:v>51.562683962609093</c:v>
                </c:pt>
                <c:pt idx="28">
                  <c:v>51.844628407053534</c:v>
                </c:pt>
                <c:pt idx="29">
                  <c:v>53.396898580054419</c:v>
                </c:pt>
                <c:pt idx="30">
                  <c:v>53.844676357832199</c:v>
                </c:pt>
                <c:pt idx="31">
                  <c:v>54.619811521131432</c:v>
                </c:pt>
                <c:pt idx="32">
                  <c:v>54.844533743353651</c:v>
                </c:pt>
                <c:pt idx="33">
                  <c:v>55.679131068975259</c:v>
                </c:pt>
                <c:pt idx="34">
                  <c:v>55.513575513419703</c:v>
                </c:pt>
                <c:pt idx="35">
                  <c:v>53.619126768386387</c:v>
                </c:pt>
                <c:pt idx="36">
                  <c:v>53.513571212830833</c:v>
                </c:pt>
                <c:pt idx="37">
                  <c:v>52.556240986930561</c:v>
                </c:pt>
                <c:pt idx="38">
                  <c:v>52.513740986930564</c:v>
                </c:pt>
                <c:pt idx="39">
                  <c:v>51.633574916829701</c:v>
                </c:pt>
                <c:pt idx="40">
                  <c:v>51.513574916829704</c:v>
                </c:pt>
                <c:pt idx="41">
                  <c:v>51.513574916829704</c:v>
                </c:pt>
                <c:pt idx="42">
                  <c:v>51.513574916829704</c:v>
                </c:pt>
                <c:pt idx="43">
                  <c:v>50.700588251328554</c:v>
                </c:pt>
                <c:pt idx="44">
                  <c:v>50.513643806884112</c:v>
                </c:pt>
                <c:pt idx="45">
                  <c:v>48.836240743308508</c:v>
                </c:pt>
                <c:pt idx="46">
                  <c:v>48.514018521086285</c:v>
                </c:pt>
                <c:pt idx="47">
                  <c:v>46.826123351950876</c:v>
                </c:pt>
                <c:pt idx="48">
                  <c:v>46.513901129728652</c:v>
                </c:pt>
                <c:pt idx="49">
                  <c:v>44.919579551574977</c:v>
                </c:pt>
                <c:pt idx="50">
                  <c:v>44.514023996019418</c:v>
                </c:pt>
                <c:pt idx="51">
                  <c:v>43.009876271722227</c:v>
                </c:pt>
                <c:pt idx="52">
                  <c:v>43.009876271722227</c:v>
                </c:pt>
                <c:pt idx="53">
                  <c:v>43.009876271722227</c:v>
                </c:pt>
                <c:pt idx="54">
                  <c:v>43.009876271722227</c:v>
                </c:pt>
                <c:pt idx="55">
                  <c:v>43.009876271722227</c:v>
                </c:pt>
                <c:pt idx="56">
                  <c:v>43.009876271722227</c:v>
                </c:pt>
                <c:pt idx="57">
                  <c:v>43.009876271722227</c:v>
                </c:pt>
                <c:pt idx="58">
                  <c:v>43.009876271722227</c:v>
                </c:pt>
                <c:pt idx="59">
                  <c:v>43.009876271722227</c:v>
                </c:pt>
                <c:pt idx="60">
                  <c:v>43.009876271722227</c:v>
                </c:pt>
                <c:pt idx="61">
                  <c:v>43.009876271722227</c:v>
                </c:pt>
                <c:pt idx="62">
                  <c:v>43.009876271722227</c:v>
                </c:pt>
                <c:pt idx="63">
                  <c:v>43.009876271722227</c:v>
                </c:pt>
                <c:pt idx="64">
                  <c:v>43.009876271722227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36526.002671443428</c:v>
                </c:pt>
                <c:pt idx="2">
                  <c:v>36526.005255338168</c:v>
                </c:pt>
                <c:pt idx="3">
                  <c:v>36526.041490933545</c:v>
                </c:pt>
                <c:pt idx="4">
                  <c:v>36526.041664544653</c:v>
                </c:pt>
                <c:pt idx="5">
                  <c:v>36526.076123280291</c:v>
                </c:pt>
                <c:pt idx="6">
                  <c:v>36526.083333928436</c:v>
                </c:pt>
                <c:pt idx="7">
                  <c:v>36526.11607255938</c:v>
                </c:pt>
                <c:pt idx="8">
                  <c:v>36526.124996170489</c:v>
                </c:pt>
                <c:pt idx="9">
                  <c:v>36526.15584958002</c:v>
                </c:pt>
                <c:pt idx="10">
                  <c:v>36526.166671339277</c:v>
                </c:pt>
                <c:pt idx="11">
                  <c:v>36526.195648020832</c:v>
                </c:pt>
                <c:pt idx="12">
                  <c:v>36526.208333206014</c:v>
                </c:pt>
                <c:pt idx="13">
                  <c:v>36526.234732109588</c:v>
                </c:pt>
                <c:pt idx="14">
                  <c:v>36526.249998313295</c:v>
                </c:pt>
                <c:pt idx="15">
                  <c:v>36526.275534044471</c:v>
                </c:pt>
                <c:pt idx="16">
                  <c:v>36526.291668303733</c:v>
                </c:pt>
                <c:pt idx="17">
                  <c:v>36526.315226798441</c:v>
                </c:pt>
                <c:pt idx="18">
                  <c:v>36526.333328650289</c:v>
                </c:pt>
                <c:pt idx="19">
                  <c:v>36526.355938963432</c:v>
                </c:pt>
                <c:pt idx="20">
                  <c:v>36526.375001463435</c:v>
                </c:pt>
                <c:pt idx="21">
                  <c:v>36526.398222177406</c:v>
                </c:pt>
                <c:pt idx="22">
                  <c:v>36526.416671251478</c:v>
                </c:pt>
                <c:pt idx="23">
                  <c:v>36526.442080657071</c:v>
                </c:pt>
                <c:pt idx="24">
                  <c:v>36526.458330657071</c:v>
                </c:pt>
                <c:pt idx="25">
                  <c:v>36526.486655889537</c:v>
                </c:pt>
                <c:pt idx="26">
                  <c:v>36526.500000796943</c:v>
                </c:pt>
                <c:pt idx="27">
                  <c:v>36526.529920738045</c:v>
                </c:pt>
                <c:pt idx="28">
                  <c:v>36526.541668423233</c:v>
                </c:pt>
                <c:pt idx="29">
                  <c:v>36526.57400738517</c:v>
                </c:pt>
                <c:pt idx="30">
                  <c:v>36526.583336088872</c:v>
                </c:pt>
                <c:pt idx="31">
                  <c:v>36526.615633387344</c:v>
                </c:pt>
                <c:pt idx="32">
                  <c:v>36526.624996813269</c:v>
                </c:pt>
                <c:pt idx="33">
                  <c:v>36526.659771701838</c:v>
                </c:pt>
                <c:pt idx="34">
                  <c:v>36526.666669849983</c:v>
                </c:pt>
                <c:pt idx="35">
                  <c:v>36526.706137532172</c:v>
                </c:pt>
                <c:pt idx="36">
                  <c:v>36526.708336606243</c:v>
                </c:pt>
                <c:pt idx="37">
                  <c:v>36526.748225365656</c:v>
                </c:pt>
                <c:pt idx="38">
                  <c:v>36526.749996198989</c:v>
                </c:pt>
                <c:pt idx="39">
                  <c:v>36526.786669785244</c:v>
                </c:pt>
                <c:pt idx="40">
                  <c:v>36526.791669785242</c:v>
                </c:pt>
                <c:pt idx="41">
                  <c:v>36526.827482074536</c:v>
                </c:pt>
                <c:pt idx="42">
                  <c:v>36526.833338556018</c:v>
                </c:pt>
                <c:pt idx="43">
                  <c:v>36526.867213000412</c:v>
                </c:pt>
                <c:pt idx="44">
                  <c:v>36526.875002352266</c:v>
                </c:pt>
                <c:pt idx="45">
                  <c:v>36526.909948249428</c:v>
                </c:pt>
                <c:pt idx="46">
                  <c:v>36526.916661212388</c:v>
                </c:pt>
                <c:pt idx="47">
                  <c:v>36526.951825695076</c:v>
                </c:pt>
                <c:pt idx="48">
                  <c:v>36526.958330324705</c:v>
                </c:pt>
                <c:pt idx="49">
                  <c:v>36526.991545357581</c:v>
                </c:pt>
                <c:pt idx="50">
                  <c:v>36526.999994431659</c:v>
                </c:pt>
                <c:pt idx="51">
                  <c:v>36527.031330842583</c:v>
                </c:pt>
                <c:pt idx="52">
                  <c:v>36527.041666490732</c:v>
                </c:pt>
                <c:pt idx="53">
                  <c:v>36527.068306885936</c:v>
                </c:pt>
                <c:pt idx="54">
                  <c:v>36527.083330034082</c:v>
                </c:pt>
                <c:pt idx="55">
                  <c:v>36527.109970429286</c:v>
                </c:pt>
                <c:pt idx="56">
                  <c:v>36527.125005151509</c:v>
                </c:pt>
                <c:pt idx="57">
                  <c:v>36527.151645546714</c:v>
                </c:pt>
                <c:pt idx="58">
                  <c:v>36527.166668694859</c:v>
                </c:pt>
                <c:pt idx="59">
                  <c:v>36527.193309090064</c:v>
                </c:pt>
                <c:pt idx="60">
                  <c:v>36527.20833223821</c:v>
                </c:pt>
                <c:pt idx="61">
                  <c:v>36527.234972633414</c:v>
                </c:pt>
                <c:pt idx="62">
                  <c:v>36527.24999578156</c:v>
                </c:pt>
                <c:pt idx="63">
                  <c:v>36527.276636176764</c:v>
                </c:pt>
                <c:pt idx="64">
                  <c:v>36527.291670898987</c:v>
                </c:pt>
              </c:numCache>
            </c:numRef>
          </c:xVal>
          <c:yVal>
            <c:numRef>
              <c:f>House!$D$9:$D$73</c:f>
              <c:numCache>
                <c:formatCode>0.00</c:formatCode>
                <c:ptCount val="65"/>
                <c:pt idx="0">
                  <c:v>70</c:v>
                </c:pt>
                <c:pt idx="1">
                  <c:v>-203.24845388773241</c:v>
                </c:pt>
                <c:pt idx="2">
                  <c:v>111.73827525839744</c:v>
                </c:pt>
                <c:pt idx="3">
                  <c:v>-13.99811194552945</c:v>
                </c:pt>
                <c:pt idx="4">
                  <c:v>109.87493973248156</c:v>
                </c:pt>
                <c:pt idx="5">
                  <c:v>-15.745753857100983</c:v>
                </c:pt>
                <c:pt idx="6">
                  <c:v>108.21258708848175</c:v>
                </c:pt>
                <c:pt idx="7">
                  <c:v>-17.745884278878574</c:v>
                </c:pt>
                <c:pt idx="8">
                  <c:v>106.29502169214948</c:v>
                </c:pt>
                <c:pt idx="9">
                  <c:v>-19.74567189743307</c:v>
                </c:pt>
                <c:pt idx="10">
                  <c:v>104.38572470145699</c:v>
                </c:pt>
                <c:pt idx="11">
                  <c:v>-21.276242206587209</c:v>
                </c:pt>
                <c:pt idx="12">
                  <c:v>103.6406776923468</c:v>
                </c:pt>
                <c:pt idx="13">
                  <c:v>-22.276127008346855</c:v>
                </c:pt>
                <c:pt idx="14">
                  <c:v>102.70265956207577</c:v>
                </c:pt>
                <c:pt idx="15">
                  <c:v>-23.27608958306234</c:v>
                </c:pt>
                <c:pt idx="16">
                  <c:v>102.19325091752437</c:v>
                </c:pt>
                <c:pt idx="17">
                  <c:v>-22.479433753425912</c:v>
                </c:pt>
                <c:pt idx="18">
                  <c:v>104.26373424862221</c:v>
                </c:pt>
                <c:pt idx="19">
                  <c:v>-20.479737118738111</c:v>
                </c:pt>
                <c:pt idx="20">
                  <c:v>106.68775596097154</c:v>
                </c:pt>
                <c:pt idx="21">
                  <c:v>-17.552104295277662</c:v>
                </c:pt>
                <c:pt idx="22">
                  <c:v>109.73214736667465</c:v>
                </c:pt>
                <c:pt idx="23">
                  <c:v>-15.021717348890682</c:v>
                </c:pt>
                <c:pt idx="24">
                  <c:v>111.81029437574459</c:v>
                </c:pt>
                <c:pt idx="25">
                  <c:v>-13.022065880504622</c:v>
                </c:pt>
                <c:pt idx="26">
                  <c:v>113.94990553399371</c:v>
                </c:pt>
                <c:pt idx="27">
                  <c:v>-11.491736959349414</c:v>
                </c:pt>
                <c:pt idx="28">
                  <c:v>114.83870188338317</c:v>
                </c:pt>
                <c:pt idx="29">
                  <c:v>-10.021876135772152</c:v>
                </c:pt>
                <c:pt idx="30">
                  <c:v>117.14275429347795</c:v>
                </c:pt>
                <c:pt idx="31">
                  <c:v>-8.4916659776429491</c:v>
                </c:pt>
                <c:pt idx="32">
                  <c:v>117.89582944190549</c:v>
                </c:pt>
                <c:pt idx="33">
                  <c:v>-7.4918085921214965</c:v>
                </c:pt>
                <c:pt idx="34">
                  <c:v>118.0154734044504</c:v>
                </c:pt>
                <c:pt idx="35">
                  <c:v>-8.2322802000038244</c:v>
                </c:pt>
                <c:pt idx="36">
                  <c:v>115.48563131121209</c:v>
                </c:pt>
                <c:pt idx="37">
                  <c:v>-9.7624467079432335</c:v>
                </c:pt>
                <c:pt idx="38">
                  <c:v>114.89258332240571</c:v>
                </c:pt>
                <c:pt idx="39">
                  <c:v>-10.7622769338435</c:v>
                </c:pt>
                <c:pt idx="40">
                  <c:v>113.96991725230485</c:v>
                </c:pt>
                <c:pt idx="41">
                  <c:v>-11.292605211294902</c:v>
                </c:pt>
                <c:pt idx="42">
                  <c:v>114.31975504495431</c:v>
                </c:pt>
                <c:pt idx="43">
                  <c:v>-11.762443003944361</c:v>
                </c:pt>
                <c:pt idx="44">
                  <c:v>113.03693058680371</c:v>
                </c:pt>
                <c:pt idx="45">
                  <c:v>-13.232211906539414</c:v>
                </c:pt>
                <c:pt idx="46">
                  <c:v>110.70274528613419</c:v>
                </c:pt>
                <c:pt idx="47">
                  <c:v>-15.231837192337244</c:v>
                </c:pt>
                <c:pt idx="48">
                  <c:v>108.69262789477656</c:v>
                </c:pt>
                <c:pt idx="49">
                  <c:v>-17.231954583694879</c:v>
                </c:pt>
                <c:pt idx="50">
                  <c:v>106.78608409440066</c:v>
                </c:pt>
                <c:pt idx="51">
                  <c:v>-19.231831717404113</c:v>
                </c:pt>
                <c:pt idx="52">
                  <c:v>105.81605639984683</c:v>
                </c:pt>
                <c:pt idx="53">
                  <c:v>-19.796303856402378</c:v>
                </c:pt>
                <c:pt idx="54">
                  <c:v>105.81605639984683</c:v>
                </c:pt>
                <c:pt idx="55">
                  <c:v>-19.796303856402378</c:v>
                </c:pt>
                <c:pt idx="56">
                  <c:v>105.81605639984683</c:v>
                </c:pt>
                <c:pt idx="57">
                  <c:v>-19.796303856402378</c:v>
                </c:pt>
                <c:pt idx="58">
                  <c:v>105.81605639984683</c:v>
                </c:pt>
                <c:pt idx="59">
                  <c:v>-19.796303856402378</c:v>
                </c:pt>
                <c:pt idx="60">
                  <c:v>105.81605639984683</c:v>
                </c:pt>
                <c:pt idx="61">
                  <c:v>-19.796303856402378</c:v>
                </c:pt>
                <c:pt idx="62">
                  <c:v>105.81605639984683</c:v>
                </c:pt>
                <c:pt idx="63">
                  <c:v>-19.796303856402378</c:v>
                </c:pt>
                <c:pt idx="64">
                  <c:v>105.81605639984683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36526.002671443428</c:v>
                </c:pt>
                <c:pt idx="2">
                  <c:v>36526.005255338168</c:v>
                </c:pt>
                <c:pt idx="3">
                  <c:v>36526.041490933545</c:v>
                </c:pt>
                <c:pt idx="4">
                  <c:v>36526.041664544653</c:v>
                </c:pt>
                <c:pt idx="5">
                  <c:v>36526.076123280291</c:v>
                </c:pt>
                <c:pt idx="6">
                  <c:v>36526.083333928436</c:v>
                </c:pt>
                <c:pt idx="7">
                  <c:v>36526.11607255938</c:v>
                </c:pt>
                <c:pt idx="8">
                  <c:v>36526.124996170489</c:v>
                </c:pt>
                <c:pt idx="9">
                  <c:v>36526.15584958002</c:v>
                </c:pt>
                <c:pt idx="10">
                  <c:v>36526.166671339277</c:v>
                </c:pt>
                <c:pt idx="11">
                  <c:v>36526.195648020832</c:v>
                </c:pt>
                <c:pt idx="12">
                  <c:v>36526.208333206014</c:v>
                </c:pt>
                <c:pt idx="13">
                  <c:v>36526.234732109588</c:v>
                </c:pt>
                <c:pt idx="14">
                  <c:v>36526.249998313295</c:v>
                </c:pt>
                <c:pt idx="15">
                  <c:v>36526.275534044471</c:v>
                </c:pt>
                <c:pt idx="16">
                  <c:v>36526.291668303733</c:v>
                </c:pt>
                <c:pt idx="17">
                  <c:v>36526.315226798441</c:v>
                </c:pt>
                <c:pt idx="18">
                  <c:v>36526.333328650289</c:v>
                </c:pt>
                <c:pt idx="19">
                  <c:v>36526.355938963432</c:v>
                </c:pt>
                <c:pt idx="20">
                  <c:v>36526.375001463435</c:v>
                </c:pt>
                <c:pt idx="21">
                  <c:v>36526.398222177406</c:v>
                </c:pt>
                <c:pt idx="22">
                  <c:v>36526.416671251478</c:v>
                </c:pt>
                <c:pt idx="23">
                  <c:v>36526.442080657071</c:v>
                </c:pt>
                <c:pt idx="24">
                  <c:v>36526.458330657071</c:v>
                </c:pt>
                <c:pt idx="25">
                  <c:v>36526.486655889537</c:v>
                </c:pt>
                <c:pt idx="26">
                  <c:v>36526.500000796943</c:v>
                </c:pt>
                <c:pt idx="27">
                  <c:v>36526.529920738045</c:v>
                </c:pt>
                <c:pt idx="28">
                  <c:v>36526.541668423233</c:v>
                </c:pt>
                <c:pt idx="29">
                  <c:v>36526.57400738517</c:v>
                </c:pt>
                <c:pt idx="30">
                  <c:v>36526.583336088872</c:v>
                </c:pt>
                <c:pt idx="31">
                  <c:v>36526.615633387344</c:v>
                </c:pt>
                <c:pt idx="32">
                  <c:v>36526.624996813269</c:v>
                </c:pt>
                <c:pt idx="33">
                  <c:v>36526.659771701838</c:v>
                </c:pt>
                <c:pt idx="34">
                  <c:v>36526.666669849983</c:v>
                </c:pt>
                <c:pt idx="35">
                  <c:v>36526.706137532172</c:v>
                </c:pt>
                <c:pt idx="36">
                  <c:v>36526.708336606243</c:v>
                </c:pt>
                <c:pt idx="37">
                  <c:v>36526.748225365656</c:v>
                </c:pt>
                <c:pt idx="38">
                  <c:v>36526.749996198989</c:v>
                </c:pt>
                <c:pt idx="39">
                  <c:v>36526.786669785244</c:v>
                </c:pt>
                <c:pt idx="40">
                  <c:v>36526.791669785242</c:v>
                </c:pt>
                <c:pt idx="41">
                  <c:v>36526.827482074536</c:v>
                </c:pt>
                <c:pt idx="42">
                  <c:v>36526.833338556018</c:v>
                </c:pt>
                <c:pt idx="43">
                  <c:v>36526.867213000412</c:v>
                </c:pt>
                <c:pt idx="44">
                  <c:v>36526.875002352266</c:v>
                </c:pt>
                <c:pt idx="45">
                  <c:v>36526.909948249428</c:v>
                </c:pt>
                <c:pt idx="46">
                  <c:v>36526.916661212388</c:v>
                </c:pt>
                <c:pt idx="47">
                  <c:v>36526.951825695076</c:v>
                </c:pt>
                <c:pt idx="48">
                  <c:v>36526.958330324705</c:v>
                </c:pt>
                <c:pt idx="49">
                  <c:v>36526.991545357581</c:v>
                </c:pt>
                <c:pt idx="50">
                  <c:v>36526.999994431659</c:v>
                </c:pt>
                <c:pt idx="51">
                  <c:v>36527.031330842583</c:v>
                </c:pt>
                <c:pt idx="52">
                  <c:v>36527.041666490732</c:v>
                </c:pt>
                <c:pt idx="53">
                  <c:v>36527.068306885936</c:v>
                </c:pt>
                <c:pt idx="54">
                  <c:v>36527.083330034082</c:v>
                </c:pt>
                <c:pt idx="55">
                  <c:v>36527.109970429286</c:v>
                </c:pt>
                <c:pt idx="56">
                  <c:v>36527.125005151509</c:v>
                </c:pt>
                <c:pt idx="57">
                  <c:v>36527.151645546714</c:v>
                </c:pt>
                <c:pt idx="58">
                  <c:v>36527.166668694859</c:v>
                </c:pt>
                <c:pt idx="59">
                  <c:v>36527.193309090064</c:v>
                </c:pt>
                <c:pt idx="60">
                  <c:v>36527.20833223821</c:v>
                </c:pt>
                <c:pt idx="61">
                  <c:v>36527.234972633414</c:v>
                </c:pt>
                <c:pt idx="62">
                  <c:v>36527.24999578156</c:v>
                </c:pt>
                <c:pt idx="63">
                  <c:v>36527.276636176764</c:v>
                </c:pt>
                <c:pt idx="64">
                  <c:v>36527.291670898987</c:v>
                </c:pt>
              </c:numCache>
            </c:numRef>
          </c:xVal>
          <c:yVal>
            <c:numRef>
              <c:f>House!$E$9:$E$73</c:f>
              <c:numCache>
                <c:formatCode>0.00</c:formatCode>
                <c:ptCount val="65"/>
                <c:pt idx="0">
                  <c:v>70</c:v>
                </c:pt>
                <c:pt idx="1">
                  <c:v>486.98527633217208</c:v>
                </c:pt>
                <c:pt idx="2">
                  <c:v>112.67795084369635</c:v>
                </c:pt>
                <c:pt idx="3">
                  <c:v>-13.05843636023053</c:v>
                </c:pt>
                <c:pt idx="4">
                  <c:v>110.81461531778049</c:v>
                </c:pt>
                <c:pt idx="5">
                  <c:v>-14.806078271802065</c:v>
                </c:pt>
                <c:pt idx="6">
                  <c:v>109.15226267378068</c:v>
                </c:pt>
                <c:pt idx="7">
                  <c:v>-16.806208693579656</c:v>
                </c:pt>
                <c:pt idx="8">
                  <c:v>107.2346972774484</c:v>
                </c:pt>
                <c:pt idx="9">
                  <c:v>-18.805996312134148</c:v>
                </c:pt>
                <c:pt idx="10">
                  <c:v>105.32540028675591</c:v>
                </c:pt>
                <c:pt idx="11">
                  <c:v>-20.806404413937756</c:v>
                </c:pt>
                <c:pt idx="12">
                  <c:v>104.11051548499626</c:v>
                </c:pt>
                <c:pt idx="13">
                  <c:v>-21.806289215697397</c:v>
                </c:pt>
                <c:pt idx="14">
                  <c:v>103.17249735472522</c:v>
                </c:pt>
                <c:pt idx="15">
                  <c:v>-22.806251790412887</c:v>
                </c:pt>
                <c:pt idx="16">
                  <c:v>102.19325091752438</c:v>
                </c:pt>
                <c:pt idx="17">
                  <c:v>-23.419109338724837</c:v>
                </c:pt>
                <c:pt idx="18">
                  <c:v>103.32405866332329</c:v>
                </c:pt>
                <c:pt idx="19">
                  <c:v>-21.419412704037036</c:v>
                </c:pt>
                <c:pt idx="20">
                  <c:v>105.27824258302317</c:v>
                </c:pt>
                <c:pt idx="21">
                  <c:v>-18.961617673226044</c:v>
                </c:pt>
                <c:pt idx="22">
                  <c:v>108.32263398872628</c:v>
                </c:pt>
                <c:pt idx="23">
                  <c:v>-15.961392934189604</c:v>
                </c:pt>
                <c:pt idx="24">
                  <c:v>110.87061879044566</c:v>
                </c:pt>
                <c:pt idx="25">
                  <c:v>-13.961741465803549</c:v>
                </c:pt>
                <c:pt idx="26">
                  <c:v>113.01022994869479</c:v>
                </c:pt>
                <c:pt idx="27">
                  <c:v>-11.961574751998874</c:v>
                </c:pt>
                <c:pt idx="28">
                  <c:v>114.36886409073369</c:v>
                </c:pt>
                <c:pt idx="29">
                  <c:v>-10.961551721071075</c:v>
                </c:pt>
                <c:pt idx="30">
                  <c:v>116.20307870817902</c:v>
                </c:pt>
                <c:pt idx="31">
                  <c:v>-8.9615037702924099</c:v>
                </c:pt>
                <c:pt idx="32">
                  <c:v>117.42599164925605</c:v>
                </c:pt>
                <c:pt idx="33">
                  <c:v>-7.9616463847709582</c:v>
                </c:pt>
                <c:pt idx="34">
                  <c:v>118.48531119709986</c:v>
                </c:pt>
                <c:pt idx="35">
                  <c:v>-7.2926046147049064</c:v>
                </c:pt>
                <c:pt idx="36">
                  <c:v>116.42530689651099</c:v>
                </c:pt>
                <c:pt idx="37">
                  <c:v>-9.2926089152937763</c:v>
                </c:pt>
                <c:pt idx="38">
                  <c:v>115.36242111505517</c:v>
                </c:pt>
                <c:pt idx="39">
                  <c:v>-10.292439141194045</c:v>
                </c:pt>
                <c:pt idx="40">
                  <c:v>114.43975504495431</c:v>
                </c:pt>
                <c:pt idx="41">
                  <c:v>-11.292605211294905</c:v>
                </c:pt>
                <c:pt idx="42">
                  <c:v>114.31975504495432</c:v>
                </c:pt>
                <c:pt idx="43">
                  <c:v>-11.292605211294905</c:v>
                </c:pt>
                <c:pt idx="44">
                  <c:v>113.50676837945316</c:v>
                </c:pt>
                <c:pt idx="45">
                  <c:v>-12.292536321240497</c:v>
                </c:pt>
                <c:pt idx="46">
                  <c:v>111.64242087143312</c:v>
                </c:pt>
                <c:pt idx="47">
                  <c:v>-14.292161607038324</c:v>
                </c:pt>
                <c:pt idx="48">
                  <c:v>109.63230348007548</c:v>
                </c:pt>
                <c:pt idx="49">
                  <c:v>-16.292278998395958</c:v>
                </c:pt>
                <c:pt idx="50">
                  <c:v>107.72575967969959</c:v>
                </c:pt>
                <c:pt idx="51">
                  <c:v>-18.292156132105191</c:v>
                </c:pt>
                <c:pt idx="52">
                  <c:v>105.81605639984684</c:v>
                </c:pt>
                <c:pt idx="53">
                  <c:v>-19.796303856402382</c:v>
                </c:pt>
                <c:pt idx="54">
                  <c:v>105.81605639984684</c:v>
                </c:pt>
                <c:pt idx="55">
                  <c:v>-19.796303856402382</c:v>
                </c:pt>
                <c:pt idx="56">
                  <c:v>105.81605639984684</c:v>
                </c:pt>
                <c:pt idx="57">
                  <c:v>-19.796303856402382</c:v>
                </c:pt>
                <c:pt idx="58">
                  <c:v>105.81605639984684</c:v>
                </c:pt>
                <c:pt idx="59">
                  <c:v>-19.796303856402382</c:v>
                </c:pt>
                <c:pt idx="60">
                  <c:v>105.81605639984684</c:v>
                </c:pt>
                <c:pt idx="61">
                  <c:v>-19.796303856402382</c:v>
                </c:pt>
                <c:pt idx="62">
                  <c:v>105.81605639984684</c:v>
                </c:pt>
                <c:pt idx="63">
                  <c:v>-19.796303856402382</c:v>
                </c:pt>
                <c:pt idx="64">
                  <c:v>105.81605639984684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5456"/>
        <c:axId val="92756992"/>
      </c:scatterChart>
      <c:valAx>
        <c:axId val="9275545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92756992"/>
        <c:crosses val="autoZero"/>
        <c:crossBetween val="midCat"/>
      </c:valAx>
      <c:valAx>
        <c:axId val="92756992"/>
        <c:scaling>
          <c:orientation val="minMax"/>
          <c:max val="85"/>
          <c:min val="3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2755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173564</xdr:colOff>
      <xdr:row>26</xdr:row>
      <xdr:rowOff>67735</xdr:rowOff>
    </xdr:from>
    <xdr:to>
      <xdr:col>24</xdr:col>
      <xdr:colOff>965199</xdr:colOff>
      <xdr:row>51</xdr:row>
      <xdr:rowOff>42333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3"/>
  <sheetViews>
    <sheetView tabSelected="1" zoomScale="125" zoomScaleNormal="125" zoomScalePageLayoutView="150" workbookViewId="0">
      <pane ySplit="8" topLeftCell="A9" activePane="bottomLeft" state="frozenSplit"/>
      <selection sqref="A1:XFD8"/>
      <selection pane="bottomLeft" activeCell="V9" sqref="V9"/>
    </sheetView>
  </sheetViews>
  <sheetFormatPr defaultColWidth="10.875" defaultRowHeight="15.75" x14ac:dyDescent="0.25"/>
  <cols>
    <col min="1" max="1" width="14" style="8" customWidth="1"/>
    <col min="2" max="2" width="9.5" style="8" bestFit="1" customWidth="1"/>
    <col min="3" max="3" width="5.375" style="8" bestFit="1" customWidth="1"/>
    <col min="4" max="4" width="8" style="8" bestFit="1" customWidth="1"/>
    <col min="5" max="5" width="9" style="8" bestFit="1" customWidth="1"/>
    <col min="6" max="7" width="6.375" style="8" bestFit="1" customWidth="1"/>
    <col min="8" max="8" width="6.5" style="8" bestFit="1" customWidth="1"/>
    <col min="9" max="9" width="7.375" style="8" bestFit="1" customWidth="1"/>
    <col min="10" max="10" width="6.5" style="8" bestFit="1" customWidth="1"/>
    <col min="11" max="11" width="5.875" style="8" bestFit="1" customWidth="1"/>
    <col min="12" max="12" width="6.5" style="8" bestFit="1" customWidth="1"/>
    <col min="13" max="13" width="5.5" style="8" bestFit="1" customWidth="1"/>
    <col min="14" max="14" width="6.5" style="8" bestFit="1" customWidth="1"/>
    <col min="15" max="15" width="10" style="8" bestFit="1" customWidth="1"/>
    <col min="16" max="16" width="8" style="8" bestFit="1" customWidth="1"/>
    <col min="17" max="17" width="8.625" style="13" bestFit="1" customWidth="1"/>
    <col min="18" max="18" width="6.375" style="13" bestFit="1" customWidth="1"/>
    <col min="19" max="19" width="4" style="13" bestFit="1" customWidth="1"/>
    <col min="20" max="20" width="4.375" style="13" bestFit="1" customWidth="1"/>
    <col min="21" max="21" width="5" style="13" bestFit="1" customWidth="1"/>
    <col min="22" max="22" width="9.25" style="13" customWidth="1"/>
    <col min="23" max="23" width="9" style="8" bestFit="1" customWidth="1"/>
    <col min="24" max="24" width="12.875" style="8" bestFit="1" customWidth="1"/>
    <col min="25" max="25" width="12.875" style="8" customWidth="1"/>
    <col min="26" max="26" width="10.875" style="8"/>
    <col min="27" max="16384" width="10.875" style="13"/>
  </cols>
  <sheetData>
    <row r="1" spans="1:26" s="6" customFormat="1" ht="16.5" thickBot="1" x14ac:dyDescent="0.3">
      <c r="A1" s="36" t="s">
        <v>0</v>
      </c>
      <c r="B1" s="36"/>
      <c r="C1" s="5"/>
      <c r="D1" s="34" t="s">
        <v>3</v>
      </c>
      <c r="E1" s="34"/>
      <c r="F1" s="34"/>
      <c r="G1" s="34"/>
      <c r="H1" s="5"/>
      <c r="I1" s="34" t="s">
        <v>12</v>
      </c>
      <c r="J1" s="34"/>
      <c r="K1" s="34"/>
      <c r="L1" s="34"/>
      <c r="M1" s="5"/>
      <c r="N1" s="35" t="s">
        <v>27</v>
      </c>
      <c r="O1" s="35"/>
      <c r="P1" s="35"/>
      <c r="Q1" s="21" t="s">
        <v>46</v>
      </c>
      <c r="R1" s="30">
        <f>(b-rb2_4ac)/(2*a)</f>
        <v>9.6064042322001927E-2</v>
      </c>
      <c r="W1" s="5"/>
      <c r="X1" s="5"/>
      <c r="Y1" s="19"/>
      <c r="Z1" s="5"/>
    </row>
    <row r="2" spans="1:26" x14ac:dyDescent="0.25">
      <c r="A2" s="7" t="s">
        <v>35</v>
      </c>
      <c r="B2" s="7" t="s">
        <v>40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21" t="s">
        <v>47</v>
      </c>
      <c r="R2" s="41">
        <f>(b+rb2_4ac)/(2*a)</f>
        <v>8.639208999397427</v>
      </c>
    </row>
    <row r="3" spans="1:26" ht="16.5" thickBot="1" x14ac:dyDescent="0.3">
      <c r="A3" s="7" t="s">
        <v>41</v>
      </c>
      <c r="B3" s="7">
        <v>4159</v>
      </c>
      <c r="D3" s="39">
        <v>573.19200000000001</v>
      </c>
      <c r="E3" s="37">
        <v>9138.92</v>
      </c>
      <c r="F3" s="37">
        <v>1470</v>
      </c>
      <c r="G3" s="38">
        <v>4293.8100000000004</v>
      </c>
      <c r="I3" s="39">
        <v>36000</v>
      </c>
      <c r="J3" s="14">
        <v>75</v>
      </c>
      <c r="K3" s="14">
        <v>70</v>
      </c>
      <c r="L3" s="15">
        <v>0.5</v>
      </c>
      <c r="N3" s="40">
        <f>CM*CA/HM</f>
        <v>690.66155519470578</v>
      </c>
      <c r="O3" s="40">
        <f>CM*UA/HM+CM+CA</f>
        <v>6033.1172640443292</v>
      </c>
      <c r="P3" s="40">
        <f>UA</f>
        <v>573.19200000000001</v>
      </c>
      <c r="Q3" s="21" t="s">
        <v>48</v>
      </c>
      <c r="R3" s="32">
        <f>SQRT(b^2-4*a*c_)</f>
        <v>5900.4217823075214</v>
      </c>
    </row>
    <row r="4" spans="1:26" x14ac:dyDescent="0.25">
      <c r="A4" s="7" t="s">
        <v>36</v>
      </c>
      <c r="B4" s="7" t="s">
        <v>39</v>
      </c>
      <c r="D4" s="16"/>
      <c r="E4" s="16"/>
      <c r="F4" s="16"/>
      <c r="G4" s="16"/>
      <c r="I4" s="16"/>
      <c r="J4" s="16"/>
      <c r="K4" s="16"/>
      <c r="L4" s="16"/>
    </row>
    <row r="5" spans="1:26" x14ac:dyDescent="0.25">
      <c r="A5" s="7" t="s">
        <v>37</v>
      </c>
      <c r="B5" s="7" t="s">
        <v>38</v>
      </c>
      <c r="D5" s="16"/>
      <c r="E5" s="16"/>
      <c r="F5" s="16"/>
      <c r="G5" s="16"/>
      <c r="I5" s="16"/>
      <c r="J5" s="16"/>
      <c r="K5" s="16"/>
      <c r="L5" s="16"/>
    </row>
    <row r="6" spans="1:26" x14ac:dyDescent="0.25">
      <c r="A6" s="33" t="s">
        <v>52</v>
      </c>
    </row>
    <row r="7" spans="1:26" s="6" customFormat="1" x14ac:dyDescent="0.25">
      <c r="A7" s="5"/>
      <c r="B7" s="35" t="s">
        <v>2</v>
      </c>
      <c r="C7" s="35"/>
      <c r="D7" s="35"/>
      <c r="E7" s="35"/>
      <c r="F7" s="35"/>
      <c r="G7" s="5" t="s">
        <v>26</v>
      </c>
      <c r="H7" s="35" t="s">
        <v>28</v>
      </c>
      <c r="I7" s="35"/>
      <c r="J7" s="35"/>
      <c r="K7" s="35"/>
      <c r="L7" s="35"/>
      <c r="M7" s="35"/>
      <c r="N7" s="35"/>
      <c r="O7" s="35"/>
      <c r="P7" s="35"/>
      <c r="Q7" s="5"/>
      <c r="W7" s="5"/>
      <c r="X7" s="5"/>
      <c r="Y7" s="19"/>
      <c r="Z7" s="5"/>
    </row>
    <row r="8" spans="1:26" s="23" customFormat="1" x14ac:dyDescent="0.25">
      <c r="A8" s="20" t="s">
        <v>1</v>
      </c>
      <c r="B8" s="20" t="s">
        <v>8</v>
      </c>
      <c r="C8" s="20" t="s">
        <v>42</v>
      </c>
      <c r="D8" s="20" t="s">
        <v>6</v>
      </c>
      <c r="E8" s="20" t="s">
        <v>7</v>
      </c>
      <c r="F8" s="20" t="s">
        <v>29</v>
      </c>
      <c r="G8" s="20" t="s">
        <v>25</v>
      </c>
      <c r="H8" s="20" t="s">
        <v>30</v>
      </c>
      <c r="I8" s="20" t="s">
        <v>31</v>
      </c>
      <c r="J8" s="20" t="s">
        <v>32</v>
      </c>
      <c r="K8" s="20" t="s">
        <v>33</v>
      </c>
      <c r="L8" s="20" t="s">
        <v>34</v>
      </c>
      <c r="M8" s="20" t="s">
        <v>45</v>
      </c>
      <c r="N8" s="20" t="s">
        <v>44</v>
      </c>
      <c r="O8" s="20" t="s">
        <v>43</v>
      </c>
      <c r="P8" s="20" t="s">
        <v>21</v>
      </c>
      <c r="Q8" s="20" t="s">
        <v>22</v>
      </c>
      <c r="R8" s="20" t="s">
        <v>23</v>
      </c>
      <c r="S8" s="20" t="s">
        <v>24</v>
      </c>
      <c r="T8" s="20" t="s">
        <v>14</v>
      </c>
      <c r="U8" s="20" t="s">
        <v>49</v>
      </c>
      <c r="V8" s="20" t="s">
        <v>50</v>
      </c>
      <c r="W8" s="20" t="s">
        <v>51</v>
      </c>
      <c r="X8" s="22"/>
    </row>
    <row r="9" spans="1:26" s="27" customFormat="1" x14ac:dyDescent="0.25">
      <c r="A9" s="24">
        <v>36526</v>
      </c>
      <c r="B9" s="26">
        <f>VLOOKUP(A9,weather,2)</f>
        <v>50</v>
      </c>
      <c r="C9" s="26">
        <f t="shared" ref="C9:C40" si="0">VLOOKUP(A9,weather,3)</f>
        <v>48</v>
      </c>
      <c r="D9" s="26">
        <f>TH</f>
        <v>70</v>
      </c>
      <c r="E9" s="26">
        <f>TH</f>
        <v>70</v>
      </c>
      <c r="F9" s="25">
        <f t="shared" ref="F9:F40" si="1">C9-VLOOKUP(A9,weather,2)</f>
        <v>-2</v>
      </c>
      <c r="G9" s="25">
        <v>0</v>
      </c>
      <c r="H9" s="31">
        <f t="shared" ref="H9" si="2">G9*QH</f>
        <v>0</v>
      </c>
      <c r="I9" s="31">
        <v>0</v>
      </c>
      <c r="J9" s="31">
        <f>K9+L9</f>
        <v>28120.985471911339</v>
      </c>
      <c r="K9" s="31">
        <f t="shared" ref="K9:K40" si="3">UA*B9 + M9*CM/HM</f>
        <v>28120.985471911339</v>
      </c>
      <c r="L9" s="31">
        <f>H9+I9</f>
        <v>0</v>
      </c>
      <c r="M9" s="31">
        <f t="shared" ref="M9:M40" si="4">UA*(C9-VLOOKUP(A9,weather,2))</f>
        <v>-1146.384</v>
      </c>
      <c r="N9" s="31">
        <f>IF(ISNUMBER(L8),L9-L8,L9)</f>
        <v>0</v>
      </c>
      <c r="O9" s="28">
        <f>HM/CA*E9+UA/CA*B9+H9/CA-(UA+HM)/CA*D9</f>
        <v>-7.7985306122449742</v>
      </c>
      <c r="P9" s="25">
        <f>a*(D9-J9/c_) - a/c_*N9 + a*b/c_^2*M9</f>
        <v>-76.851027213073394</v>
      </c>
      <c r="Q9" s="25">
        <f>b*(D9-J9/c_) + a*O9 + (CM/HM-b/c_)*N9 +(b^2/c_^2-a/c_)*M9</f>
        <v>-4676.1368767400418</v>
      </c>
      <c r="R9" s="25">
        <f>N9/c_-b/c_^2*M9</f>
        <v>21.05094720109258</v>
      </c>
      <c r="S9" s="25">
        <f>M9/c_</f>
        <v>-2</v>
      </c>
      <c r="T9" s="25">
        <f t="shared" ref="T9:T40" si="5">IF(G9=0,IF(O9&gt;0,TC+DB,TH-DB),IF(G9&gt;0,TH+DB,TC-DB))</f>
        <v>69.5</v>
      </c>
      <c r="U9" s="26">
        <f t="shared" ref="U9:U40" si="6">MIN((T9-D9)/O9,1-MINUTE(A9)/60-SECOND(A9)/3600)</f>
        <v>6.4114642214126577E-2</v>
      </c>
      <c r="V9" s="28">
        <f>(P9*p-Q9)/(p-q)*EXP(-p*U9)-(P9*q-Q9)/(p-q)*EXP(-q*U9)+R9+S9*U9+J9/c_</f>
        <v>-203.24845388773241</v>
      </c>
      <c r="W9" s="28">
        <f xml:space="preserve"> ((UA+HM)/HM+p*CA/CM)*(P9*p-Q9)/(p-q)*EXP(-p*U9) - ((UA+HM)/HM+q*CA/CM)*(P9*q-Q9)/(p-q)*EXP(-q*U9) - (J9+N9+M9*U9)/HM</f>
        <v>486.98527633217208</v>
      </c>
      <c r="Y9" s="22"/>
    </row>
    <row r="10" spans="1:26" x14ac:dyDescent="0.25">
      <c r="A10" s="17">
        <f t="shared" ref="A10:A41" si="7">A9+U9/24</f>
        <v>36526.002671443428</v>
      </c>
      <c r="B10" s="18">
        <f t="shared" ref="B10:B41" si="8">B9+U9*F9</f>
        <v>49.871770715571749</v>
      </c>
      <c r="C10" s="18">
        <f t="shared" si="0"/>
        <v>48</v>
      </c>
      <c r="D10" s="29">
        <f>V9</f>
        <v>-203.24845388773241</v>
      </c>
      <c r="E10" s="29">
        <f>W9</f>
        <v>486.98527633217208</v>
      </c>
      <c r="F10" s="4">
        <f t="shared" si="1"/>
        <v>-2</v>
      </c>
      <c r="G10" s="4">
        <f t="shared" ref="G10:G41" si="9">IF(D10&lt;=TH-DB,1,IF(D10&gt;TC+DB,-1,0))</f>
        <v>1</v>
      </c>
      <c r="H10" s="31">
        <f t="shared" ref="H10:H73" si="10">G10*QH</f>
        <v>36000</v>
      </c>
      <c r="I10" s="31">
        <v>0</v>
      </c>
      <c r="J10" s="31">
        <f>K10+L10</f>
        <v>64047.485471911343</v>
      </c>
      <c r="K10" s="31">
        <f t="shared" si="3"/>
        <v>28047.485471911343</v>
      </c>
      <c r="L10" s="31">
        <f>H10+I10</f>
        <v>36000</v>
      </c>
      <c r="M10" s="31">
        <f t="shared" si="4"/>
        <v>-1146.384</v>
      </c>
      <c r="N10" s="31">
        <f>IF(ISNUMBER(L9),L10-L9,L10)</f>
        <v>36000</v>
      </c>
      <c r="O10" s="28">
        <f t="shared" ref="O9:O40" si="11">HM/CA*E10+UA/CA*B10+H10/CA-(UA+HM)/CA*D10</f>
        <v>4414.338319430004</v>
      </c>
      <c r="P10" s="25"/>
      <c r="Q10" s="25"/>
      <c r="R10" s="25"/>
      <c r="S10" s="25"/>
      <c r="T10" s="4">
        <f t="shared" si="5"/>
        <v>70.5</v>
      </c>
      <c r="U10" s="18">
        <f t="shared" si="6"/>
        <v>6.2013473838833412E-2</v>
      </c>
      <c r="V10" s="28">
        <f t="shared" ref="V10:V41" si="12">P10*EXP(p*U10)+Q10*EXP(q*U10)+J10/c_</f>
        <v>111.73827525839744</v>
      </c>
      <c r="W10" s="28">
        <f t="shared" ref="W10:W40" si="13">P10*(CA/HM*p+UA/HM+1)*EXP(p*U10)+Q10*(CA/HM*q+UA/HM+1)*EXP(q*U10)+I10/HM+I10/UA+H10/UA+B10</f>
        <v>112.67795084369635</v>
      </c>
      <c r="Y10" s="13"/>
      <c r="Z10" s="13"/>
    </row>
    <row r="11" spans="1:26" x14ac:dyDescent="0.25">
      <c r="A11" s="17">
        <f t="shared" si="7"/>
        <v>36526.005255338168</v>
      </c>
      <c r="B11" s="18">
        <f t="shared" si="8"/>
        <v>49.747743767894079</v>
      </c>
      <c r="C11" s="18">
        <f t="shared" si="0"/>
        <v>48</v>
      </c>
      <c r="D11" s="29">
        <f t="shared" ref="D11:D73" si="14">V10</f>
        <v>111.73827525839744</v>
      </c>
      <c r="E11" s="29">
        <f t="shared" ref="E11:E73" si="15">W10</f>
        <v>112.67795084369635</v>
      </c>
      <c r="F11" s="4">
        <f t="shared" si="1"/>
        <v>-2</v>
      </c>
      <c r="G11" s="4">
        <f t="shared" si="9"/>
        <v>-1</v>
      </c>
      <c r="H11" s="31">
        <f t="shared" si="10"/>
        <v>-36000</v>
      </c>
      <c r="I11" s="31">
        <v>0</v>
      </c>
      <c r="J11" s="31">
        <f>K11+L11</f>
        <v>-8023.6057822819166</v>
      </c>
      <c r="K11" s="31">
        <f t="shared" si="3"/>
        <v>27976.394217718083</v>
      </c>
      <c r="L11" s="31">
        <f>H11+I11</f>
        <v>-36000</v>
      </c>
      <c r="M11" s="31">
        <f t="shared" si="4"/>
        <v>-1146.384</v>
      </c>
      <c r="N11" s="31">
        <f>IF(ISNUMBER(L10),L11-L10,L11)</f>
        <v>-72000</v>
      </c>
      <c r="O11" s="28">
        <f t="shared" si="11"/>
        <v>-42.819630425921559</v>
      </c>
      <c r="P11" s="25"/>
      <c r="Q11" s="25"/>
      <c r="R11" s="25"/>
      <c r="S11" s="25"/>
      <c r="T11" s="4">
        <f t="shared" si="5"/>
        <v>74.5</v>
      </c>
      <c r="U11" s="18">
        <f t="shared" si="6"/>
        <v>0.86965428911910092</v>
      </c>
      <c r="V11" s="28">
        <f t="shared" si="12"/>
        <v>-13.99811194552945</v>
      </c>
      <c r="W11" s="28">
        <f t="shared" si="13"/>
        <v>-13.05843636023053</v>
      </c>
      <c r="Y11" s="13"/>
      <c r="Z11" s="13"/>
    </row>
    <row r="12" spans="1:26" x14ac:dyDescent="0.25">
      <c r="A12" s="17">
        <f t="shared" si="7"/>
        <v>36526.041490933545</v>
      </c>
      <c r="B12" s="18">
        <f t="shared" si="8"/>
        <v>48.008435189655877</v>
      </c>
      <c r="C12" s="18">
        <f t="shared" si="0"/>
        <v>48</v>
      </c>
      <c r="D12" s="29">
        <f t="shared" si="14"/>
        <v>-13.99811194552945</v>
      </c>
      <c r="E12" s="29">
        <f t="shared" si="15"/>
        <v>-13.05843636023053</v>
      </c>
      <c r="F12" s="4">
        <f t="shared" si="1"/>
        <v>-2</v>
      </c>
      <c r="G12" s="4">
        <f t="shared" si="9"/>
        <v>1</v>
      </c>
      <c r="H12" s="31">
        <f t="shared" si="10"/>
        <v>36000</v>
      </c>
      <c r="I12" s="31">
        <v>0</v>
      </c>
      <c r="J12" s="31">
        <f>K12+L12</f>
        <v>62979.436455140574</v>
      </c>
      <c r="K12" s="31">
        <f t="shared" si="3"/>
        <v>26979.436455140574</v>
      </c>
      <c r="L12" s="31">
        <f>H12+I12</f>
        <v>36000</v>
      </c>
      <c r="M12" s="31">
        <f t="shared" si="4"/>
        <v>-1146.384</v>
      </c>
      <c r="N12" s="31">
        <f>IF(ISNUMBER(L11),L12-L11,L12)</f>
        <v>72000</v>
      </c>
      <c r="O12" s="28">
        <f t="shared" si="11"/>
        <v>54.50971208538175</v>
      </c>
      <c r="P12" s="25"/>
      <c r="Q12" s="25"/>
      <c r="R12" s="25"/>
      <c r="S12" s="25"/>
      <c r="T12" s="4">
        <f t="shared" si="5"/>
        <v>70.5</v>
      </c>
      <c r="U12" s="18">
        <f t="shared" si="6"/>
        <v>4.1666666666667178E-3</v>
      </c>
      <c r="V12" s="28">
        <f t="shared" si="12"/>
        <v>109.87493973248156</v>
      </c>
      <c r="W12" s="28">
        <f t="shared" si="13"/>
        <v>110.81461531778049</v>
      </c>
      <c r="Y12" s="13"/>
      <c r="Z12" s="13"/>
    </row>
    <row r="13" spans="1:26" x14ac:dyDescent="0.25">
      <c r="A13" s="17">
        <f t="shared" si="7"/>
        <v>36526.041664544653</v>
      </c>
      <c r="B13" s="18">
        <f t="shared" si="8"/>
        <v>48.000101856322544</v>
      </c>
      <c r="C13" s="18">
        <f t="shared" si="0"/>
        <v>48</v>
      </c>
      <c r="D13" s="29">
        <f t="shared" si="14"/>
        <v>109.87493973248156</v>
      </c>
      <c r="E13" s="29">
        <f t="shared" si="15"/>
        <v>110.81461531778049</v>
      </c>
      <c r="F13" s="4">
        <f t="shared" si="1"/>
        <v>-2</v>
      </c>
      <c r="G13" s="4">
        <f t="shared" si="9"/>
        <v>-1</v>
      </c>
      <c r="H13" s="31">
        <f t="shared" si="10"/>
        <v>-36000</v>
      </c>
      <c r="I13" s="31">
        <v>0</v>
      </c>
      <c r="J13" s="31">
        <f>K13+L13</f>
        <v>-9025.3401448594268</v>
      </c>
      <c r="K13" s="31">
        <f t="shared" si="3"/>
        <v>26974.659855140573</v>
      </c>
      <c r="L13" s="31">
        <f>H13+I13</f>
        <v>-36000</v>
      </c>
      <c r="M13" s="31">
        <f t="shared" si="4"/>
        <v>-1146.384</v>
      </c>
      <c r="N13" s="31">
        <f>IF(ISNUMBER(L12),L13-L12,L13)</f>
        <v>-72000</v>
      </c>
      <c r="O13" s="28">
        <f t="shared" si="11"/>
        <v>-42.774518416266233</v>
      </c>
      <c r="P13" s="25"/>
      <c r="Q13" s="25"/>
      <c r="R13" s="25"/>
      <c r="S13" s="25"/>
      <c r="T13" s="4">
        <f t="shared" si="5"/>
        <v>74.5</v>
      </c>
      <c r="U13" s="18">
        <f t="shared" si="6"/>
        <v>0.82700965533323767</v>
      </c>
      <c r="V13" s="28">
        <f t="shared" si="12"/>
        <v>-15.745753857100983</v>
      </c>
      <c r="W13" s="28">
        <f t="shared" si="13"/>
        <v>-14.806078271802065</v>
      </c>
      <c r="Y13" s="13"/>
      <c r="Z13" s="13"/>
    </row>
    <row r="14" spans="1:26" x14ac:dyDescent="0.25">
      <c r="A14" s="17">
        <f t="shared" si="7"/>
        <v>36526.076123280291</v>
      </c>
      <c r="B14" s="18">
        <f t="shared" si="8"/>
        <v>46.346082545656067</v>
      </c>
      <c r="C14" s="18">
        <f t="shared" si="0"/>
        <v>46</v>
      </c>
      <c r="D14" s="29">
        <f t="shared" si="14"/>
        <v>-15.745753857100983</v>
      </c>
      <c r="E14" s="29">
        <f t="shared" si="15"/>
        <v>-14.806078271802065</v>
      </c>
      <c r="F14" s="4">
        <f t="shared" si="1"/>
        <v>-2</v>
      </c>
      <c r="G14" s="4">
        <f t="shared" si="9"/>
        <v>1</v>
      </c>
      <c r="H14" s="31">
        <f t="shared" si="10"/>
        <v>36000</v>
      </c>
      <c r="I14" s="31">
        <v>0</v>
      </c>
      <c r="J14" s="31">
        <f t="shared" ref="J14:J73" si="16">K14+L14</f>
        <v>62026.589218421032</v>
      </c>
      <c r="K14" s="31">
        <f t="shared" si="3"/>
        <v>26026.589218421032</v>
      </c>
      <c r="L14" s="31">
        <f t="shared" ref="L14:L73" si="17">H14+I14</f>
        <v>36000</v>
      </c>
      <c r="M14" s="31">
        <f t="shared" si="4"/>
        <v>-1146.384</v>
      </c>
      <c r="N14" s="31">
        <f t="shared" ref="N14:N73" si="18">IF(ISNUMBER(L13),L14-L13,L14)</f>
        <v>72000</v>
      </c>
      <c r="O14" s="28">
        <f t="shared" si="11"/>
        <v>54.542968633584451</v>
      </c>
      <c r="P14" s="25"/>
      <c r="Q14" s="25"/>
      <c r="R14" s="25"/>
      <c r="S14" s="25"/>
      <c r="T14" s="4">
        <f t="shared" si="5"/>
        <v>70.5</v>
      </c>
      <c r="U14" s="18">
        <f t="shared" si="6"/>
        <v>0.17305555555555557</v>
      </c>
      <c r="V14" s="28">
        <f t="shared" si="12"/>
        <v>108.21258708848175</v>
      </c>
      <c r="W14" s="28">
        <f t="shared" si="13"/>
        <v>109.15226267378068</v>
      </c>
      <c r="Y14" s="13"/>
      <c r="Z14" s="13"/>
    </row>
    <row r="15" spans="1:26" x14ac:dyDescent="0.25">
      <c r="A15" s="17">
        <f t="shared" si="7"/>
        <v>36526.083333928436</v>
      </c>
      <c r="B15" s="18">
        <f t="shared" si="8"/>
        <v>45.999971434544953</v>
      </c>
      <c r="C15" s="18">
        <f t="shared" si="0"/>
        <v>44</v>
      </c>
      <c r="D15" s="29">
        <f t="shared" si="14"/>
        <v>108.21258708848175</v>
      </c>
      <c r="E15" s="29">
        <f t="shared" si="15"/>
        <v>109.15226267378068</v>
      </c>
      <c r="F15" s="4">
        <f t="shared" si="1"/>
        <v>-2</v>
      </c>
      <c r="G15" s="4">
        <f t="shared" si="9"/>
        <v>-1</v>
      </c>
      <c r="H15" s="31">
        <f t="shared" si="10"/>
        <v>-36000</v>
      </c>
      <c r="I15" s="31">
        <v>0</v>
      </c>
      <c r="J15" s="31">
        <f t="shared" si="16"/>
        <v>-10171.798901578968</v>
      </c>
      <c r="K15" s="31">
        <f t="shared" si="3"/>
        <v>25828.201098421032</v>
      </c>
      <c r="L15" s="31">
        <f t="shared" si="17"/>
        <v>-36000</v>
      </c>
      <c r="M15" s="31">
        <f t="shared" si="4"/>
        <v>-1146.384</v>
      </c>
      <c r="N15" s="31">
        <f t="shared" si="18"/>
        <v>-72000</v>
      </c>
      <c r="O15" s="28">
        <f t="shared" si="11"/>
        <v>-42.906226933273047</v>
      </c>
      <c r="P15" s="25"/>
      <c r="Q15" s="25"/>
      <c r="R15" s="25"/>
      <c r="S15" s="25"/>
      <c r="T15" s="4">
        <f t="shared" si="5"/>
        <v>74.5</v>
      </c>
      <c r="U15" s="18">
        <f t="shared" si="6"/>
        <v>0.7857271426105803</v>
      </c>
      <c r="V15" s="28">
        <f t="shared" si="12"/>
        <v>-17.745884278878574</v>
      </c>
      <c r="W15" s="28">
        <f t="shared" si="13"/>
        <v>-16.806208693579656</v>
      </c>
      <c r="Y15" s="13"/>
      <c r="Z15" s="13"/>
    </row>
    <row r="16" spans="1:26" x14ac:dyDescent="0.25">
      <c r="A16" s="17">
        <f t="shared" si="7"/>
        <v>36526.11607255938</v>
      </c>
      <c r="B16" s="18">
        <f t="shared" si="8"/>
        <v>44.428517149323795</v>
      </c>
      <c r="C16" s="18">
        <f t="shared" si="0"/>
        <v>44</v>
      </c>
      <c r="D16" s="29">
        <f t="shared" si="14"/>
        <v>-17.745884278878574</v>
      </c>
      <c r="E16" s="29">
        <f t="shared" si="15"/>
        <v>-16.806208693579656</v>
      </c>
      <c r="F16" s="4">
        <f t="shared" si="1"/>
        <v>-2</v>
      </c>
      <c r="G16" s="4">
        <f t="shared" si="9"/>
        <v>1</v>
      </c>
      <c r="H16" s="31">
        <f t="shared" si="10"/>
        <v>36000</v>
      </c>
      <c r="I16" s="31">
        <v>0</v>
      </c>
      <c r="J16" s="31">
        <f t="shared" si="16"/>
        <v>60927.456073766545</v>
      </c>
      <c r="K16" s="31">
        <f t="shared" si="3"/>
        <v>24927.456073766545</v>
      </c>
      <c r="L16" s="31">
        <f t="shared" si="17"/>
        <v>36000</v>
      </c>
      <c r="M16" s="31">
        <f t="shared" si="4"/>
        <v>-1146.384</v>
      </c>
      <c r="N16" s="31">
        <f t="shared" si="18"/>
        <v>72000</v>
      </c>
      <c r="O16" s="28">
        <f t="shared" si="11"/>
        <v>54.575162927506256</v>
      </c>
      <c r="P16" s="25"/>
      <c r="Q16" s="25"/>
      <c r="R16" s="25"/>
      <c r="S16" s="25"/>
      <c r="T16" s="4">
        <f t="shared" si="5"/>
        <v>70.5</v>
      </c>
      <c r="U16" s="18">
        <f t="shared" si="6"/>
        <v>0.21416666666666667</v>
      </c>
      <c r="V16" s="28">
        <f t="shared" si="12"/>
        <v>106.29502169214948</v>
      </c>
      <c r="W16" s="28">
        <f t="shared" si="13"/>
        <v>107.2346972774484</v>
      </c>
      <c r="Y16" s="13"/>
      <c r="Z16" s="13"/>
    </row>
    <row r="17" spans="1:26" x14ac:dyDescent="0.25">
      <c r="A17" s="17">
        <f t="shared" si="7"/>
        <v>36526.124996170489</v>
      </c>
      <c r="B17" s="18">
        <f t="shared" si="8"/>
        <v>44.000183815990461</v>
      </c>
      <c r="C17" s="18">
        <f t="shared" si="0"/>
        <v>44</v>
      </c>
      <c r="D17" s="29">
        <f t="shared" si="14"/>
        <v>106.29502169214948</v>
      </c>
      <c r="E17" s="29">
        <f t="shared" si="15"/>
        <v>107.2346972774484</v>
      </c>
      <c r="F17" s="4">
        <f t="shared" si="1"/>
        <v>-2</v>
      </c>
      <c r="G17" s="4">
        <f t="shared" si="9"/>
        <v>-1</v>
      </c>
      <c r="H17" s="31">
        <f t="shared" si="10"/>
        <v>-36000</v>
      </c>
      <c r="I17" s="31">
        <v>0</v>
      </c>
      <c r="J17" s="31">
        <f t="shared" si="16"/>
        <v>-11318.061166233456</v>
      </c>
      <c r="K17" s="31">
        <f t="shared" si="3"/>
        <v>24681.938833766544</v>
      </c>
      <c r="L17" s="31">
        <f t="shared" si="17"/>
        <v>-36000</v>
      </c>
      <c r="M17" s="31">
        <f t="shared" si="4"/>
        <v>-1146.384</v>
      </c>
      <c r="N17" s="31">
        <f t="shared" si="18"/>
        <v>-72000</v>
      </c>
      <c r="O17" s="28">
        <f t="shared" si="11"/>
        <v>-42.93828755912341</v>
      </c>
      <c r="P17" s="25"/>
      <c r="Q17" s="25"/>
      <c r="R17" s="25"/>
      <c r="S17" s="25"/>
      <c r="T17" s="4">
        <f t="shared" si="5"/>
        <v>74.5</v>
      </c>
      <c r="U17" s="18">
        <f t="shared" si="6"/>
        <v>0.74048182867958268</v>
      </c>
      <c r="V17" s="28">
        <f t="shared" si="12"/>
        <v>-19.74567189743307</v>
      </c>
      <c r="W17" s="28">
        <f t="shared" si="13"/>
        <v>-18.805996312134148</v>
      </c>
      <c r="Y17" s="13"/>
      <c r="Z17" s="13"/>
    </row>
    <row r="18" spans="1:26" x14ac:dyDescent="0.25">
      <c r="A18" s="17">
        <f t="shared" si="7"/>
        <v>36526.15584958002</v>
      </c>
      <c r="B18" s="18">
        <f t="shared" si="8"/>
        <v>42.519220158631299</v>
      </c>
      <c r="C18" s="18">
        <f t="shared" si="0"/>
        <v>42</v>
      </c>
      <c r="D18" s="29">
        <f t="shared" si="14"/>
        <v>-19.74567189743307</v>
      </c>
      <c r="E18" s="29">
        <f t="shared" si="15"/>
        <v>-18.805996312134148</v>
      </c>
      <c r="F18" s="4">
        <f t="shared" si="1"/>
        <v>-2</v>
      </c>
      <c r="G18" s="4">
        <f t="shared" si="9"/>
        <v>1</v>
      </c>
      <c r="H18" s="31">
        <f t="shared" si="10"/>
        <v>36000</v>
      </c>
      <c r="I18" s="31">
        <v>0</v>
      </c>
      <c r="J18" s="31">
        <f t="shared" si="16"/>
        <v>59833.062313077535</v>
      </c>
      <c r="K18" s="31">
        <f t="shared" si="3"/>
        <v>23833.062313077531</v>
      </c>
      <c r="L18" s="31">
        <f t="shared" si="17"/>
        <v>36000</v>
      </c>
      <c r="M18" s="31">
        <f t="shared" si="4"/>
        <v>-1146.384</v>
      </c>
      <c r="N18" s="31">
        <f t="shared" si="18"/>
        <v>72000</v>
      </c>
      <c r="O18" s="28">
        <f t="shared" si="11"/>
        <v>54.610447624081431</v>
      </c>
      <c r="P18" s="25"/>
      <c r="Q18" s="25"/>
      <c r="R18" s="25"/>
      <c r="S18" s="25"/>
      <c r="T18" s="4">
        <f t="shared" si="5"/>
        <v>70.5</v>
      </c>
      <c r="U18" s="18">
        <f t="shared" si="6"/>
        <v>0.2597222222222223</v>
      </c>
      <c r="V18" s="28">
        <f t="shared" si="12"/>
        <v>104.38572470145699</v>
      </c>
      <c r="W18" s="28">
        <f t="shared" si="13"/>
        <v>105.32540028675591</v>
      </c>
      <c r="Y18" s="13"/>
      <c r="Z18" s="13"/>
    </row>
    <row r="19" spans="1:26" x14ac:dyDescent="0.25">
      <c r="A19" s="17">
        <f t="shared" si="7"/>
        <v>36526.166671339277</v>
      </c>
      <c r="B19" s="18">
        <f t="shared" si="8"/>
        <v>41.999775714186853</v>
      </c>
      <c r="C19" s="18">
        <f t="shared" si="0"/>
        <v>41</v>
      </c>
      <c r="D19" s="29">
        <f t="shared" si="14"/>
        <v>104.38572470145699</v>
      </c>
      <c r="E19" s="29">
        <f t="shared" si="15"/>
        <v>105.32540028675591</v>
      </c>
      <c r="F19" s="4">
        <f t="shared" si="1"/>
        <v>-1</v>
      </c>
      <c r="G19" s="4">
        <f t="shared" si="9"/>
        <v>-1</v>
      </c>
      <c r="H19" s="31">
        <f t="shared" si="10"/>
        <v>-36000</v>
      </c>
      <c r="I19" s="31">
        <v>0</v>
      </c>
      <c r="J19" s="31">
        <f t="shared" si="16"/>
        <v>-12195.371822878136</v>
      </c>
      <c r="K19" s="31">
        <f t="shared" si="3"/>
        <v>23804.628177121864</v>
      </c>
      <c r="L19" s="31">
        <f t="shared" si="17"/>
        <v>-36000</v>
      </c>
      <c r="M19" s="31">
        <f t="shared" si="4"/>
        <v>-573.19200000000001</v>
      </c>
      <c r="N19" s="31">
        <f t="shared" si="18"/>
        <v>-72000</v>
      </c>
      <c r="O19" s="28">
        <f t="shared" si="11"/>
        <v>-42.973814198579134</v>
      </c>
      <c r="P19" s="25"/>
      <c r="Q19" s="25"/>
      <c r="R19" s="25"/>
      <c r="S19" s="25"/>
      <c r="T19" s="4">
        <f t="shared" si="5"/>
        <v>74.5</v>
      </c>
      <c r="U19" s="18">
        <f t="shared" si="6"/>
        <v>0.69544035731520248</v>
      </c>
      <c r="V19" s="28">
        <f t="shared" si="12"/>
        <v>-21.276242206587209</v>
      </c>
      <c r="W19" s="28">
        <f t="shared" si="13"/>
        <v>-20.806404413937756</v>
      </c>
      <c r="Y19" s="13"/>
      <c r="Z19" s="13"/>
    </row>
    <row r="20" spans="1:26" x14ac:dyDescent="0.25">
      <c r="A20" s="17">
        <f t="shared" si="7"/>
        <v>36526.195648020832</v>
      </c>
      <c r="B20" s="18">
        <f t="shared" si="8"/>
        <v>41.304335356871654</v>
      </c>
      <c r="C20" s="18">
        <f t="shared" si="0"/>
        <v>41</v>
      </c>
      <c r="D20" s="29">
        <f t="shared" si="14"/>
        <v>-21.276242206587209</v>
      </c>
      <c r="E20" s="29">
        <f t="shared" si="15"/>
        <v>-20.806404413937756</v>
      </c>
      <c r="F20" s="4">
        <f t="shared" si="1"/>
        <v>-1</v>
      </c>
      <c r="G20" s="4">
        <f t="shared" si="9"/>
        <v>1</v>
      </c>
      <c r="H20" s="31">
        <f t="shared" si="10"/>
        <v>36000</v>
      </c>
      <c r="I20" s="31">
        <v>0</v>
      </c>
      <c r="J20" s="31">
        <f t="shared" si="16"/>
        <v>59406.007327831649</v>
      </c>
      <c r="K20" s="31">
        <f t="shared" si="3"/>
        <v>23406.007327831649</v>
      </c>
      <c r="L20" s="31">
        <f t="shared" si="17"/>
        <v>36000</v>
      </c>
      <c r="M20" s="31">
        <f t="shared" si="4"/>
        <v>-573.19200000000001</v>
      </c>
      <c r="N20" s="31">
        <f t="shared" si="18"/>
        <v>72000</v>
      </c>
      <c r="O20" s="28">
        <f t="shared" si="11"/>
        <v>51.812582595070808</v>
      </c>
      <c r="P20" s="25"/>
      <c r="Q20" s="25"/>
      <c r="R20" s="25"/>
      <c r="S20" s="25"/>
      <c r="T20" s="4">
        <f t="shared" si="5"/>
        <v>70.5</v>
      </c>
      <c r="U20" s="18">
        <f t="shared" si="6"/>
        <v>0.30444444444444441</v>
      </c>
      <c r="V20" s="28">
        <f t="shared" si="12"/>
        <v>103.6406776923468</v>
      </c>
      <c r="W20" s="28">
        <f t="shared" si="13"/>
        <v>104.11051548499626</v>
      </c>
      <c r="Y20" s="13"/>
      <c r="Z20" s="13"/>
    </row>
    <row r="21" spans="1:26" x14ac:dyDescent="0.25">
      <c r="A21" s="17">
        <f t="shared" si="7"/>
        <v>36526.208333206014</v>
      </c>
      <c r="B21" s="18">
        <f t="shared" si="8"/>
        <v>40.999890912427212</v>
      </c>
      <c r="C21" s="18">
        <f t="shared" si="0"/>
        <v>41</v>
      </c>
      <c r="D21" s="29">
        <f t="shared" si="14"/>
        <v>103.6406776923468</v>
      </c>
      <c r="E21" s="29">
        <f t="shared" si="15"/>
        <v>104.11051548499626</v>
      </c>
      <c r="F21" s="4">
        <f t="shared" si="1"/>
        <v>-1</v>
      </c>
      <c r="G21" s="4">
        <f t="shared" si="9"/>
        <v>-1</v>
      </c>
      <c r="H21" s="31">
        <f t="shared" si="10"/>
        <v>-36000</v>
      </c>
      <c r="I21" s="31">
        <v>0</v>
      </c>
      <c r="J21" s="31">
        <f t="shared" si="16"/>
        <v>-12768.497792168349</v>
      </c>
      <c r="K21" s="31">
        <f t="shared" si="3"/>
        <v>23231.502207831651</v>
      </c>
      <c r="L21" s="31">
        <f t="shared" si="17"/>
        <v>-36000</v>
      </c>
      <c r="M21" s="31">
        <f t="shared" si="4"/>
        <v>-573.19200000000001</v>
      </c>
      <c r="N21" s="31">
        <f t="shared" si="18"/>
        <v>-72000</v>
      </c>
      <c r="O21" s="28">
        <f t="shared" si="11"/>
        <v>-45.994141398609372</v>
      </c>
      <c r="P21" s="25"/>
      <c r="Q21" s="25"/>
      <c r="R21" s="25"/>
      <c r="S21" s="25"/>
      <c r="T21" s="4">
        <f t="shared" si="5"/>
        <v>74.5</v>
      </c>
      <c r="U21" s="18">
        <f t="shared" si="6"/>
        <v>0.63357368582660101</v>
      </c>
      <c r="V21" s="28">
        <f t="shared" si="12"/>
        <v>-22.276127008346855</v>
      </c>
      <c r="W21" s="28">
        <f t="shared" si="13"/>
        <v>-21.806289215697397</v>
      </c>
      <c r="Y21" s="13"/>
      <c r="Z21" s="13"/>
    </row>
    <row r="22" spans="1:26" x14ac:dyDescent="0.25">
      <c r="A22" s="17">
        <f t="shared" si="7"/>
        <v>36526.234732109588</v>
      </c>
      <c r="B22" s="18">
        <f t="shared" si="8"/>
        <v>40.366317226600614</v>
      </c>
      <c r="C22" s="18">
        <f t="shared" si="0"/>
        <v>40</v>
      </c>
      <c r="D22" s="29">
        <f t="shared" si="14"/>
        <v>-22.276127008346855</v>
      </c>
      <c r="E22" s="29">
        <f t="shared" si="15"/>
        <v>-21.806289215697397</v>
      </c>
      <c r="F22" s="4">
        <f t="shared" si="1"/>
        <v>-1</v>
      </c>
      <c r="G22" s="4">
        <f t="shared" si="9"/>
        <v>1</v>
      </c>
      <c r="H22" s="31">
        <f t="shared" si="10"/>
        <v>36000</v>
      </c>
      <c r="I22" s="31">
        <v>0</v>
      </c>
      <c r="J22" s="31">
        <f t="shared" si="16"/>
        <v>58868.342839705336</v>
      </c>
      <c r="K22" s="31">
        <f t="shared" si="3"/>
        <v>22868.342839705332</v>
      </c>
      <c r="L22" s="31">
        <f t="shared" si="17"/>
        <v>36000</v>
      </c>
      <c r="M22" s="31">
        <f t="shared" si="4"/>
        <v>-573.19200000000001</v>
      </c>
      <c r="N22" s="31">
        <f t="shared" si="18"/>
        <v>72000</v>
      </c>
      <c r="O22" s="28">
        <f t="shared" si="11"/>
        <v>51.836706051644924</v>
      </c>
      <c r="P22" s="25"/>
      <c r="Q22" s="25"/>
      <c r="R22" s="25"/>
      <c r="S22" s="25"/>
      <c r="T22" s="4">
        <f t="shared" si="5"/>
        <v>70.5</v>
      </c>
      <c r="U22" s="18">
        <f t="shared" si="6"/>
        <v>0.36638888888888893</v>
      </c>
      <c r="V22" s="28">
        <f t="shared" si="12"/>
        <v>102.70265956207577</v>
      </c>
      <c r="W22" s="28">
        <f t="shared" si="13"/>
        <v>103.17249735472522</v>
      </c>
      <c r="Y22" s="13"/>
      <c r="Z22" s="13"/>
    </row>
    <row r="23" spans="1:26" x14ac:dyDescent="0.25">
      <c r="A23" s="17">
        <f t="shared" si="7"/>
        <v>36526.249998313295</v>
      </c>
      <c r="B23" s="18">
        <f t="shared" si="8"/>
        <v>39.999928337711722</v>
      </c>
      <c r="C23" s="18">
        <f t="shared" si="0"/>
        <v>40</v>
      </c>
      <c r="D23" s="29">
        <f t="shared" si="14"/>
        <v>102.70265956207577</v>
      </c>
      <c r="E23" s="29">
        <f t="shared" si="15"/>
        <v>103.17249735472522</v>
      </c>
      <c r="F23" s="4">
        <f t="shared" si="1"/>
        <v>-1</v>
      </c>
      <c r="G23" s="4">
        <f t="shared" si="9"/>
        <v>-1</v>
      </c>
      <c r="H23" s="31">
        <f t="shared" si="10"/>
        <v>-36000</v>
      </c>
      <c r="I23" s="31">
        <v>0</v>
      </c>
      <c r="J23" s="31">
        <f t="shared" si="16"/>
        <v>-13341.668340294669</v>
      </c>
      <c r="K23" s="31">
        <f t="shared" si="3"/>
        <v>22658.331659705331</v>
      </c>
      <c r="L23" s="31">
        <f t="shared" si="17"/>
        <v>-36000</v>
      </c>
      <c r="M23" s="31">
        <f t="shared" si="4"/>
        <v>-573.19200000000001</v>
      </c>
      <c r="N23" s="31">
        <f t="shared" si="18"/>
        <v>-72000</v>
      </c>
      <c r="O23" s="28">
        <f t="shared" si="11"/>
        <v>-46.018295180922223</v>
      </c>
      <c r="P23" s="25"/>
      <c r="Q23" s="25"/>
      <c r="R23" s="25"/>
      <c r="S23" s="25"/>
      <c r="T23" s="4">
        <f t="shared" si="5"/>
        <v>74.5</v>
      </c>
      <c r="U23" s="18">
        <f t="shared" si="6"/>
        <v>0.61285754831195327</v>
      </c>
      <c r="V23" s="28">
        <f t="shared" si="12"/>
        <v>-23.27608958306234</v>
      </c>
      <c r="W23" s="28">
        <f t="shared" si="13"/>
        <v>-22.806251790412887</v>
      </c>
      <c r="Y23" s="13"/>
      <c r="Z23" s="13"/>
    </row>
    <row r="24" spans="1:26" x14ac:dyDescent="0.25">
      <c r="A24" s="17">
        <f t="shared" si="7"/>
        <v>36526.275534044471</v>
      </c>
      <c r="B24" s="18">
        <f t="shared" si="8"/>
        <v>39.387070789399772</v>
      </c>
      <c r="C24" s="18">
        <f t="shared" si="0"/>
        <v>40</v>
      </c>
      <c r="D24" s="29">
        <f t="shared" si="14"/>
        <v>-23.27608958306234</v>
      </c>
      <c r="E24" s="29">
        <f t="shared" si="15"/>
        <v>-22.806251790412887</v>
      </c>
      <c r="F24" s="4">
        <f t="shared" si="1"/>
        <v>0</v>
      </c>
      <c r="G24" s="4">
        <f t="shared" si="9"/>
        <v>1</v>
      </c>
      <c r="H24" s="31">
        <f t="shared" si="10"/>
        <v>36000</v>
      </c>
      <c r="I24" s="31">
        <v>0</v>
      </c>
      <c r="J24" s="31">
        <f t="shared" si="16"/>
        <v>58576.353879917631</v>
      </c>
      <c r="K24" s="31">
        <f t="shared" si="3"/>
        <v>22576.353879917635</v>
      </c>
      <c r="L24" s="31">
        <f t="shared" si="17"/>
        <v>36000</v>
      </c>
      <c r="M24" s="31">
        <f t="shared" si="4"/>
        <v>0</v>
      </c>
      <c r="N24" s="31">
        <f t="shared" si="18"/>
        <v>72000</v>
      </c>
      <c r="O24" s="28">
        <f t="shared" si="11"/>
        <v>51.844783823273673</v>
      </c>
      <c r="P24" s="25"/>
      <c r="Q24" s="25"/>
      <c r="R24" s="25"/>
      <c r="S24" s="25"/>
      <c r="T24" s="4">
        <f t="shared" si="5"/>
        <v>70.5</v>
      </c>
      <c r="U24" s="18">
        <f t="shared" si="6"/>
        <v>0.38722222222222225</v>
      </c>
      <c r="V24" s="28">
        <f t="shared" si="12"/>
        <v>102.19325091752437</v>
      </c>
      <c r="W24" s="28">
        <f t="shared" si="13"/>
        <v>102.19325091752438</v>
      </c>
      <c r="Y24" s="13"/>
      <c r="Z24" s="13"/>
    </row>
    <row r="25" spans="1:26" x14ac:dyDescent="0.25">
      <c r="A25" s="17">
        <f t="shared" si="7"/>
        <v>36526.291668303733</v>
      </c>
      <c r="B25" s="18">
        <f t="shared" si="8"/>
        <v>39.387070789399772</v>
      </c>
      <c r="C25" s="18">
        <f t="shared" si="0"/>
        <v>42</v>
      </c>
      <c r="D25" s="29">
        <f t="shared" si="14"/>
        <v>102.19325091752437</v>
      </c>
      <c r="E25" s="29">
        <f t="shared" si="15"/>
        <v>102.19325091752438</v>
      </c>
      <c r="F25" s="4">
        <f t="shared" si="1"/>
        <v>2</v>
      </c>
      <c r="G25" s="4">
        <f t="shared" si="9"/>
        <v>-1</v>
      </c>
      <c r="H25" s="31">
        <f t="shared" si="10"/>
        <v>-36000</v>
      </c>
      <c r="I25" s="31">
        <v>0</v>
      </c>
      <c r="J25" s="31">
        <f t="shared" si="16"/>
        <v>-12885.031591993706</v>
      </c>
      <c r="K25" s="31">
        <f t="shared" si="3"/>
        <v>23114.968408006294</v>
      </c>
      <c r="L25" s="31">
        <f t="shared" si="17"/>
        <v>-36000</v>
      </c>
      <c r="M25" s="31">
        <f t="shared" si="4"/>
        <v>1146.384</v>
      </c>
      <c r="N25" s="31">
        <f t="shared" si="18"/>
        <v>-72000</v>
      </c>
      <c r="O25" s="28">
        <f t="shared" si="11"/>
        <v>-48.979591836734699</v>
      </c>
      <c r="P25" s="25"/>
      <c r="Q25" s="25"/>
      <c r="R25" s="25"/>
      <c r="S25" s="25"/>
      <c r="T25" s="4">
        <f t="shared" si="5"/>
        <v>74.5</v>
      </c>
      <c r="U25" s="18">
        <f t="shared" si="6"/>
        <v>0.56540387289945582</v>
      </c>
      <c r="V25" s="28">
        <f t="shared" si="12"/>
        <v>-22.479433753425912</v>
      </c>
      <c r="W25" s="28">
        <f t="shared" si="13"/>
        <v>-23.419109338724837</v>
      </c>
      <c r="Y25" s="13"/>
      <c r="Z25" s="13"/>
    </row>
    <row r="26" spans="1:26" x14ac:dyDescent="0.25">
      <c r="A26" s="17">
        <f t="shared" si="7"/>
        <v>36526.315226798441</v>
      </c>
      <c r="B26" s="18">
        <f t="shared" si="8"/>
        <v>40.517878535198683</v>
      </c>
      <c r="C26" s="18">
        <f t="shared" si="0"/>
        <v>42</v>
      </c>
      <c r="D26" s="29">
        <f t="shared" si="14"/>
        <v>-22.479433753425912</v>
      </c>
      <c r="E26" s="29">
        <f t="shared" si="15"/>
        <v>-23.419109338724837</v>
      </c>
      <c r="F26" s="4">
        <f t="shared" si="1"/>
        <v>2</v>
      </c>
      <c r="G26" s="4">
        <f t="shared" si="9"/>
        <v>1</v>
      </c>
      <c r="H26" s="31">
        <f t="shared" si="10"/>
        <v>36000</v>
      </c>
      <c r="I26" s="31">
        <v>0</v>
      </c>
      <c r="J26" s="31">
        <f t="shared" si="16"/>
        <v>59763.138361436264</v>
      </c>
      <c r="K26" s="31">
        <f t="shared" si="3"/>
        <v>23763.138361436264</v>
      </c>
      <c r="L26" s="31">
        <f t="shared" si="17"/>
        <v>36000</v>
      </c>
      <c r="M26" s="31">
        <f t="shared" si="4"/>
        <v>1146.384</v>
      </c>
      <c r="N26" s="31">
        <f t="shared" si="18"/>
        <v>72000</v>
      </c>
      <c r="O26" s="28">
        <f t="shared" si="11"/>
        <v>43.212200969619914</v>
      </c>
      <c r="P26" s="25"/>
      <c r="Q26" s="25"/>
      <c r="R26" s="25"/>
      <c r="S26" s="25"/>
      <c r="T26" s="4">
        <f t="shared" si="5"/>
        <v>70.5</v>
      </c>
      <c r="U26" s="18">
        <f t="shared" si="6"/>
        <v>0.43444444444444441</v>
      </c>
      <c r="V26" s="28">
        <f t="shared" si="12"/>
        <v>104.26373424862221</v>
      </c>
      <c r="W26" s="28">
        <f t="shared" si="13"/>
        <v>103.32405866332329</v>
      </c>
      <c r="Y26" s="13"/>
      <c r="Z26" s="13"/>
    </row>
    <row r="27" spans="1:26" x14ac:dyDescent="0.25">
      <c r="A27" s="17">
        <f t="shared" si="7"/>
        <v>36526.333328650289</v>
      </c>
      <c r="B27" s="18">
        <f t="shared" si="8"/>
        <v>41.386767424087573</v>
      </c>
      <c r="C27" s="18">
        <f t="shared" si="0"/>
        <v>42</v>
      </c>
      <c r="D27" s="29">
        <f t="shared" si="14"/>
        <v>104.26373424862221</v>
      </c>
      <c r="E27" s="29">
        <f t="shared" si="15"/>
        <v>103.32405866332329</v>
      </c>
      <c r="F27" s="4">
        <f t="shared" si="1"/>
        <v>2</v>
      </c>
      <c r="G27" s="4">
        <f t="shared" si="9"/>
        <v>-1</v>
      </c>
      <c r="H27" s="31">
        <f t="shared" si="10"/>
        <v>-36000</v>
      </c>
      <c r="I27" s="31">
        <v>0</v>
      </c>
      <c r="J27" s="31">
        <f t="shared" si="16"/>
        <v>-11738.821478563736</v>
      </c>
      <c r="K27" s="31">
        <f t="shared" si="3"/>
        <v>24261.178521436264</v>
      </c>
      <c r="L27" s="31">
        <f t="shared" si="17"/>
        <v>-36000</v>
      </c>
      <c r="M27" s="31">
        <f t="shared" si="4"/>
        <v>1146.384</v>
      </c>
      <c r="N27" s="31">
        <f t="shared" si="18"/>
        <v>-72000</v>
      </c>
      <c r="O27" s="28">
        <f t="shared" si="11"/>
        <v>-54.84911181502639</v>
      </c>
      <c r="P27" s="25"/>
      <c r="Q27" s="25"/>
      <c r="R27" s="25"/>
      <c r="S27" s="25"/>
      <c r="T27" s="4">
        <f t="shared" si="5"/>
        <v>74.5</v>
      </c>
      <c r="U27" s="18">
        <f t="shared" si="6"/>
        <v>0.54264751540549427</v>
      </c>
      <c r="V27" s="28">
        <f t="shared" si="12"/>
        <v>-20.479737118738111</v>
      </c>
      <c r="W27" s="28">
        <f t="shared" si="13"/>
        <v>-21.419412704037036</v>
      </c>
      <c r="Y27" s="13"/>
      <c r="Z27" s="13"/>
    </row>
    <row r="28" spans="1:26" x14ac:dyDescent="0.25">
      <c r="A28" s="17">
        <f t="shared" si="7"/>
        <v>36526.355938963432</v>
      </c>
      <c r="B28" s="18">
        <f t="shared" si="8"/>
        <v>42.472062454898563</v>
      </c>
      <c r="C28" s="18">
        <f t="shared" si="0"/>
        <v>45</v>
      </c>
      <c r="D28" s="29">
        <f t="shared" si="14"/>
        <v>-20.479737118738111</v>
      </c>
      <c r="E28" s="29">
        <f t="shared" si="15"/>
        <v>-21.419412704037036</v>
      </c>
      <c r="F28" s="4">
        <f t="shared" si="1"/>
        <v>3</v>
      </c>
      <c r="G28" s="4">
        <f t="shared" si="9"/>
        <v>1</v>
      </c>
      <c r="H28" s="31">
        <f t="shared" si="10"/>
        <v>36000</v>
      </c>
      <c r="I28" s="31">
        <v>0</v>
      </c>
      <c r="J28" s="31">
        <f t="shared" si="16"/>
        <v>61152.568214781204</v>
      </c>
      <c r="K28" s="31">
        <f t="shared" si="3"/>
        <v>25152.568214781204</v>
      </c>
      <c r="L28" s="31">
        <f t="shared" si="17"/>
        <v>36000</v>
      </c>
      <c r="M28" s="31">
        <f t="shared" si="4"/>
        <v>1719.576</v>
      </c>
      <c r="N28" s="31">
        <f t="shared" si="18"/>
        <v>72000</v>
      </c>
      <c r="O28" s="28">
        <f t="shared" si="11"/>
        <v>43.194454354565934</v>
      </c>
      <c r="P28" s="25"/>
      <c r="Q28" s="25"/>
      <c r="R28" s="25"/>
      <c r="S28" s="25"/>
      <c r="T28" s="4">
        <f t="shared" si="5"/>
        <v>70.5</v>
      </c>
      <c r="U28" s="18">
        <f t="shared" si="6"/>
        <v>0.45750000000000002</v>
      </c>
      <c r="V28" s="28">
        <f t="shared" si="12"/>
        <v>106.68775596097154</v>
      </c>
      <c r="W28" s="28">
        <f t="shared" si="13"/>
        <v>105.27824258302317</v>
      </c>
      <c r="Y28" s="13"/>
      <c r="Z28" s="13"/>
    </row>
    <row r="29" spans="1:26" x14ac:dyDescent="0.25">
      <c r="A29" s="17">
        <f t="shared" si="7"/>
        <v>36526.375001463435</v>
      </c>
      <c r="B29" s="18">
        <f t="shared" si="8"/>
        <v>43.844562454898565</v>
      </c>
      <c r="C29" s="18">
        <f t="shared" si="0"/>
        <v>48</v>
      </c>
      <c r="D29" s="29">
        <f t="shared" si="14"/>
        <v>106.68775596097154</v>
      </c>
      <c r="E29" s="29">
        <f t="shared" si="15"/>
        <v>105.27824258302317</v>
      </c>
      <c r="F29" s="4">
        <f t="shared" si="1"/>
        <v>3</v>
      </c>
      <c r="G29" s="4">
        <f t="shared" si="9"/>
        <v>-1</v>
      </c>
      <c r="H29" s="31">
        <f t="shared" si="10"/>
        <v>-36000</v>
      </c>
      <c r="I29" s="31">
        <v>0</v>
      </c>
      <c r="J29" s="31">
        <f t="shared" si="16"/>
        <v>-10060.725765218795</v>
      </c>
      <c r="K29" s="31">
        <f t="shared" si="3"/>
        <v>25939.274234781205</v>
      </c>
      <c r="L29" s="31">
        <f t="shared" si="17"/>
        <v>-36000</v>
      </c>
      <c r="M29" s="31">
        <f t="shared" si="4"/>
        <v>1719.576</v>
      </c>
      <c r="N29" s="31">
        <f t="shared" si="18"/>
        <v>-72000</v>
      </c>
      <c r="O29" s="28">
        <f t="shared" si="11"/>
        <v>-57.756901885804837</v>
      </c>
      <c r="P29" s="25"/>
      <c r="Q29" s="25"/>
      <c r="R29" s="25"/>
      <c r="S29" s="25"/>
      <c r="T29" s="4">
        <f t="shared" si="5"/>
        <v>74.5</v>
      </c>
      <c r="U29" s="18">
        <f t="shared" si="6"/>
        <v>0.55729713523436875</v>
      </c>
      <c r="V29" s="28">
        <f t="shared" si="12"/>
        <v>-17.552104295277662</v>
      </c>
      <c r="W29" s="28">
        <f t="shared" si="13"/>
        <v>-18.961617673226044</v>
      </c>
      <c r="Y29" s="13"/>
      <c r="Z29" s="13"/>
    </row>
    <row r="30" spans="1:26" x14ac:dyDescent="0.25">
      <c r="A30" s="17">
        <f t="shared" si="7"/>
        <v>36526.398222177406</v>
      </c>
      <c r="B30" s="18">
        <f t="shared" si="8"/>
        <v>45.516453860601672</v>
      </c>
      <c r="C30" s="18">
        <f t="shared" si="0"/>
        <v>48</v>
      </c>
      <c r="D30" s="29">
        <f t="shared" si="14"/>
        <v>-17.552104295277662</v>
      </c>
      <c r="E30" s="29">
        <f t="shared" si="15"/>
        <v>-18.961617673226044</v>
      </c>
      <c r="F30" s="4">
        <f t="shared" si="1"/>
        <v>3</v>
      </c>
      <c r="G30" s="4">
        <f t="shared" si="9"/>
        <v>1</v>
      </c>
      <c r="H30" s="31">
        <f t="shared" si="10"/>
        <v>36000</v>
      </c>
      <c r="I30" s="31">
        <v>0</v>
      </c>
      <c r="J30" s="31">
        <f t="shared" si="16"/>
        <v>62897.589013398981</v>
      </c>
      <c r="K30" s="31">
        <f t="shared" si="3"/>
        <v>26897.589013398981</v>
      </c>
      <c r="L30" s="31">
        <f t="shared" si="17"/>
        <v>36000</v>
      </c>
      <c r="M30" s="31">
        <f t="shared" si="4"/>
        <v>1719.576</v>
      </c>
      <c r="N30" s="31">
        <f t="shared" si="18"/>
        <v>72000</v>
      </c>
      <c r="O30" s="28">
        <f t="shared" si="11"/>
        <v>40.319022439785556</v>
      </c>
      <c r="P30" s="25"/>
      <c r="Q30" s="25"/>
      <c r="R30" s="25"/>
      <c r="S30" s="25"/>
      <c r="T30" s="4">
        <f t="shared" si="5"/>
        <v>70.5</v>
      </c>
      <c r="U30" s="18">
        <f t="shared" si="6"/>
        <v>0.44277777777777771</v>
      </c>
      <c r="V30" s="28">
        <f t="shared" si="12"/>
        <v>109.73214736667465</v>
      </c>
      <c r="W30" s="28">
        <f t="shared" si="13"/>
        <v>108.32263398872628</v>
      </c>
      <c r="Y30" s="13"/>
      <c r="Z30" s="13"/>
    </row>
    <row r="31" spans="1:26" x14ac:dyDescent="0.25">
      <c r="A31" s="17">
        <f t="shared" si="7"/>
        <v>36526.416671251478</v>
      </c>
      <c r="B31" s="18">
        <f t="shared" si="8"/>
        <v>46.844787193935005</v>
      </c>
      <c r="C31" s="18">
        <f t="shared" si="0"/>
        <v>50</v>
      </c>
      <c r="D31" s="29">
        <f t="shared" si="14"/>
        <v>109.73214736667465</v>
      </c>
      <c r="E31" s="29">
        <f t="shared" si="15"/>
        <v>108.32263398872628</v>
      </c>
      <c r="F31" s="4">
        <f t="shared" si="1"/>
        <v>2</v>
      </c>
      <c r="G31" s="4">
        <f t="shared" si="9"/>
        <v>-1</v>
      </c>
      <c r="H31" s="31">
        <f t="shared" si="10"/>
        <v>-36000</v>
      </c>
      <c r="I31" s="31">
        <v>0</v>
      </c>
      <c r="J31" s="31">
        <f t="shared" si="16"/>
        <v>-8610.328210645348</v>
      </c>
      <c r="K31" s="31">
        <f t="shared" si="3"/>
        <v>27389.671789354652</v>
      </c>
      <c r="L31" s="31">
        <f t="shared" si="17"/>
        <v>-36000</v>
      </c>
      <c r="M31" s="31">
        <f t="shared" si="4"/>
        <v>1146.384</v>
      </c>
      <c r="N31" s="31">
        <f t="shared" si="18"/>
        <v>-72000</v>
      </c>
      <c r="O31" s="28">
        <f t="shared" si="11"/>
        <v>-57.774123640906851</v>
      </c>
      <c r="P31" s="25"/>
      <c r="Q31" s="25"/>
      <c r="R31" s="25"/>
      <c r="S31" s="25"/>
      <c r="T31" s="4">
        <f t="shared" si="5"/>
        <v>74.5</v>
      </c>
      <c r="U31" s="18">
        <f t="shared" si="6"/>
        <v>0.60982573419302555</v>
      </c>
      <c r="V31" s="28">
        <f t="shared" si="12"/>
        <v>-15.021717348890682</v>
      </c>
      <c r="W31" s="28">
        <f t="shared" si="13"/>
        <v>-15.961392934189604</v>
      </c>
      <c r="Y31" s="13"/>
      <c r="Z31" s="13"/>
    </row>
    <row r="32" spans="1:26" x14ac:dyDescent="0.25">
      <c r="A32" s="17">
        <f t="shared" si="7"/>
        <v>36526.442080657071</v>
      </c>
      <c r="B32" s="18">
        <f t="shared" si="8"/>
        <v>48.064438662321059</v>
      </c>
      <c r="C32" s="18">
        <f t="shared" si="0"/>
        <v>50</v>
      </c>
      <c r="D32" s="29">
        <f t="shared" si="14"/>
        <v>-15.021717348890682</v>
      </c>
      <c r="E32" s="29">
        <f t="shared" si="15"/>
        <v>-15.961392934189604</v>
      </c>
      <c r="F32" s="4">
        <f t="shared" si="1"/>
        <v>2</v>
      </c>
      <c r="G32" s="4">
        <f t="shared" si="9"/>
        <v>1</v>
      </c>
      <c r="H32" s="31">
        <f t="shared" si="10"/>
        <v>36000</v>
      </c>
      <c r="I32" s="31">
        <v>0</v>
      </c>
      <c r="J32" s="31">
        <f t="shared" si="16"/>
        <v>64088.766253821792</v>
      </c>
      <c r="K32" s="31">
        <f t="shared" si="3"/>
        <v>28088.766253821792</v>
      </c>
      <c r="L32" s="31">
        <f t="shared" si="17"/>
        <v>36000</v>
      </c>
      <c r="M32" s="31">
        <f t="shared" si="4"/>
        <v>1146.384</v>
      </c>
      <c r="N32" s="31">
        <f t="shared" si="18"/>
        <v>72000</v>
      </c>
      <c r="O32" s="28">
        <f t="shared" si="11"/>
        <v>43.246843494135021</v>
      </c>
      <c r="P32" s="25"/>
      <c r="Q32" s="25"/>
      <c r="R32" s="25"/>
      <c r="S32" s="25"/>
      <c r="T32" s="4">
        <f t="shared" si="5"/>
        <v>70.5</v>
      </c>
      <c r="U32" s="18">
        <f t="shared" si="6"/>
        <v>0.39</v>
      </c>
      <c r="V32" s="28">
        <f t="shared" si="12"/>
        <v>111.81029437574459</v>
      </c>
      <c r="W32" s="28">
        <f t="shared" si="13"/>
        <v>110.87061879044566</v>
      </c>
      <c r="Y32" s="13"/>
      <c r="Z32" s="13"/>
    </row>
    <row r="33" spans="1:26" x14ac:dyDescent="0.25">
      <c r="A33" s="17">
        <f t="shared" si="7"/>
        <v>36526.458330657071</v>
      </c>
      <c r="B33" s="18">
        <f t="shared" si="8"/>
        <v>48.84443866232106</v>
      </c>
      <c r="C33" s="18">
        <f t="shared" si="0"/>
        <v>50</v>
      </c>
      <c r="D33" s="29">
        <f t="shared" si="14"/>
        <v>111.81029437574459</v>
      </c>
      <c r="E33" s="29">
        <f t="shared" si="15"/>
        <v>110.87061879044566</v>
      </c>
      <c r="F33" s="4">
        <f t="shared" si="1"/>
        <v>2</v>
      </c>
      <c r="G33" s="4">
        <f t="shared" si="9"/>
        <v>-1</v>
      </c>
      <c r="H33" s="31">
        <f t="shared" si="10"/>
        <v>-36000</v>
      </c>
      <c r="I33" s="31">
        <v>0</v>
      </c>
      <c r="J33" s="31">
        <f t="shared" si="16"/>
        <v>-7464.1439861782055</v>
      </c>
      <c r="K33" s="31">
        <f t="shared" si="3"/>
        <v>28535.856013821794</v>
      </c>
      <c r="L33" s="31">
        <f t="shared" si="17"/>
        <v>-36000</v>
      </c>
      <c r="M33" s="31">
        <f t="shared" si="4"/>
        <v>1146.384</v>
      </c>
      <c r="N33" s="31">
        <f t="shared" si="18"/>
        <v>-72000</v>
      </c>
      <c r="O33" s="28">
        <f t="shared" si="11"/>
        <v>-54.883771951080803</v>
      </c>
      <c r="P33" s="25"/>
      <c r="Q33" s="25"/>
      <c r="R33" s="25"/>
      <c r="S33" s="25"/>
      <c r="T33" s="4">
        <f t="shared" si="5"/>
        <v>74.5</v>
      </c>
      <c r="U33" s="18">
        <f t="shared" si="6"/>
        <v>0.67980557912455675</v>
      </c>
      <c r="V33" s="28">
        <f t="shared" si="12"/>
        <v>-13.022065880504622</v>
      </c>
      <c r="W33" s="28">
        <f t="shared" si="13"/>
        <v>-13.961741465803549</v>
      </c>
      <c r="Y33" s="13"/>
      <c r="Z33" s="13"/>
    </row>
    <row r="34" spans="1:26" x14ac:dyDescent="0.25">
      <c r="A34" s="17">
        <f t="shared" si="7"/>
        <v>36526.486655889537</v>
      </c>
      <c r="B34" s="18">
        <f t="shared" si="8"/>
        <v>50.204049820570177</v>
      </c>
      <c r="C34" s="18">
        <f t="shared" si="0"/>
        <v>52</v>
      </c>
      <c r="D34" s="29">
        <f t="shared" si="14"/>
        <v>-13.022065880504622</v>
      </c>
      <c r="E34" s="29">
        <f t="shared" si="15"/>
        <v>-13.961741465803549</v>
      </c>
      <c r="F34" s="4">
        <f t="shared" si="1"/>
        <v>2</v>
      </c>
      <c r="G34" s="4">
        <f t="shared" si="9"/>
        <v>1</v>
      </c>
      <c r="H34" s="31">
        <f t="shared" si="10"/>
        <v>36000</v>
      </c>
      <c r="I34" s="31">
        <v>0</v>
      </c>
      <c r="J34" s="31">
        <f t="shared" si="16"/>
        <v>65315.174252840923</v>
      </c>
      <c r="K34" s="31">
        <f t="shared" si="3"/>
        <v>29315.17425284092</v>
      </c>
      <c r="L34" s="31">
        <f t="shared" si="17"/>
        <v>36000</v>
      </c>
      <c r="M34" s="31">
        <f t="shared" si="4"/>
        <v>1146.384</v>
      </c>
      <c r="N34" s="31">
        <f t="shared" si="18"/>
        <v>72000</v>
      </c>
      <c r="O34" s="28">
        <f t="shared" si="11"/>
        <v>43.301417490428861</v>
      </c>
      <c r="P34" s="25"/>
      <c r="Q34" s="25"/>
      <c r="R34" s="25"/>
      <c r="S34" s="25"/>
      <c r="T34" s="4">
        <f t="shared" si="5"/>
        <v>70.5</v>
      </c>
      <c r="U34" s="18">
        <f t="shared" si="6"/>
        <v>0.32027777777777783</v>
      </c>
      <c r="V34" s="28">
        <f t="shared" si="12"/>
        <v>113.94990553399371</v>
      </c>
      <c r="W34" s="28">
        <f t="shared" si="13"/>
        <v>113.01022994869479</v>
      </c>
      <c r="Y34" s="13"/>
      <c r="Z34" s="13"/>
    </row>
    <row r="35" spans="1:26" x14ac:dyDescent="0.25">
      <c r="A35" s="17">
        <f t="shared" si="7"/>
        <v>36526.500000796943</v>
      </c>
      <c r="B35" s="18">
        <f t="shared" si="8"/>
        <v>50.844605376125735</v>
      </c>
      <c r="C35" s="18">
        <f t="shared" si="0"/>
        <v>53</v>
      </c>
      <c r="D35" s="29">
        <f t="shared" si="14"/>
        <v>113.94990553399371</v>
      </c>
      <c r="E35" s="29">
        <f t="shared" si="15"/>
        <v>113.01022994869479</v>
      </c>
      <c r="F35" s="4">
        <f t="shared" si="1"/>
        <v>1</v>
      </c>
      <c r="G35" s="4">
        <f t="shared" si="9"/>
        <v>-1</v>
      </c>
      <c r="H35" s="31">
        <f t="shared" si="10"/>
        <v>-36000</v>
      </c>
      <c r="I35" s="31">
        <v>0</v>
      </c>
      <c r="J35" s="31">
        <f t="shared" si="16"/>
        <v>-6586.9716912034091</v>
      </c>
      <c r="K35" s="31">
        <f t="shared" si="3"/>
        <v>29413.028308796591</v>
      </c>
      <c r="L35" s="31">
        <f t="shared" si="17"/>
        <v>-36000</v>
      </c>
      <c r="M35" s="31">
        <f t="shared" si="4"/>
        <v>573.19200000000001</v>
      </c>
      <c r="N35" s="31">
        <f t="shared" si="18"/>
        <v>-72000</v>
      </c>
      <c r="O35" s="28">
        <f t="shared" si="11"/>
        <v>-54.938145039516371</v>
      </c>
      <c r="P35" s="25"/>
      <c r="Q35" s="25"/>
      <c r="R35" s="25"/>
      <c r="S35" s="25"/>
      <c r="T35" s="4">
        <f t="shared" si="5"/>
        <v>74.5</v>
      </c>
      <c r="U35" s="18">
        <f t="shared" si="6"/>
        <v>0.71807858648335965</v>
      </c>
      <c r="V35" s="28">
        <f t="shared" si="12"/>
        <v>-11.491736959349414</v>
      </c>
      <c r="W35" s="28">
        <f t="shared" si="13"/>
        <v>-11.961574751998874</v>
      </c>
      <c r="Y35" s="13"/>
      <c r="Z35" s="13"/>
    </row>
    <row r="36" spans="1:26" x14ac:dyDescent="0.25">
      <c r="A36" s="17">
        <f t="shared" si="7"/>
        <v>36526.529920738045</v>
      </c>
      <c r="B36" s="18">
        <f t="shared" si="8"/>
        <v>51.562683962609093</v>
      </c>
      <c r="C36" s="18">
        <f t="shared" si="0"/>
        <v>53</v>
      </c>
      <c r="D36" s="29">
        <f t="shared" si="14"/>
        <v>-11.491736959349414</v>
      </c>
      <c r="E36" s="29">
        <f t="shared" si="15"/>
        <v>-11.961574751998874</v>
      </c>
      <c r="F36" s="4">
        <f t="shared" si="1"/>
        <v>1</v>
      </c>
      <c r="G36" s="4">
        <f t="shared" si="9"/>
        <v>1</v>
      </c>
      <c r="H36" s="31">
        <f t="shared" si="10"/>
        <v>36000</v>
      </c>
      <c r="I36" s="31">
        <v>0</v>
      </c>
      <c r="J36" s="31">
        <f t="shared" si="16"/>
        <v>65824.625209940161</v>
      </c>
      <c r="K36" s="31">
        <f t="shared" si="3"/>
        <v>29824.625209940161</v>
      </c>
      <c r="L36" s="31">
        <f t="shared" si="17"/>
        <v>36000</v>
      </c>
      <c r="M36" s="31">
        <f t="shared" si="4"/>
        <v>573.19200000000001</v>
      </c>
      <c r="N36" s="31">
        <f t="shared" si="18"/>
        <v>72000</v>
      </c>
      <c r="O36" s="28">
        <f t="shared" si="11"/>
        <v>46.155428324557306</v>
      </c>
      <c r="P36" s="25"/>
      <c r="Q36" s="25"/>
      <c r="R36" s="25"/>
      <c r="S36" s="25"/>
      <c r="T36" s="4">
        <f t="shared" si="5"/>
        <v>70.5</v>
      </c>
      <c r="U36" s="18">
        <f t="shared" si="6"/>
        <v>0.28194444444444444</v>
      </c>
      <c r="V36" s="28">
        <f t="shared" si="12"/>
        <v>114.83870188338317</v>
      </c>
      <c r="W36" s="28">
        <f t="shared" si="13"/>
        <v>114.36886409073369</v>
      </c>
      <c r="Y36" s="13"/>
      <c r="Z36" s="13"/>
    </row>
    <row r="37" spans="1:26" x14ac:dyDescent="0.25">
      <c r="A37" s="17">
        <f t="shared" si="7"/>
        <v>36526.541668423233</v>
      </c>
      <c r="B37" s="18">
        <f t="shared" si="8"/>
        <v>51.844628407053534</v>
      </c>
      <c r="C37" s="18">
        <f t="shared" si="0"/>
        <v>55</v>
      </c>
      <c r="D37" s="29">
        <f t="shared" si="14"/>
        <v>114.83870188338317</v>
      </c>
      <c r="E37" s="29">
        <f t="shared" si="15"/>
        <v>114.36886409073369</v>
      </c>
      <c r="F37" s="4">
        <f t="shared" si="1"/>
        <v>2</v>
      </c>
      <c r="G37" s="4">
        <f t="shared" si="9"/>
        <v>-1</v>
      </c>
      <c r="H37" s="31">
        <f t="shared" si="10"/>
        <v>-36000</v>
      </c>
      <c r="I37" s="31">
        <v>0</v>
      </c>
      <c r="J37" s="31">
        <f t="shared" si="16"/>
        <v>-5744.4592260155114</v>
      </c>
      <c r="K37" s="31">
        <f t="shared" si="3"/>
        <v>30255.540773984489</v>
      </c>
      <c r="L37" s="31">
        <f t="shared" si="17"/>
        <v>-36000</v>
      </c>
      <c r="M37" s="31">
        <f t="shared" si="4"/>
        <v>1146.384</v>
      </c>
      <c r="N37" s="31">
        <f t="shared" si="18"/>
        <v>-72000</v>
      </c>
      <c r="O37" s="28">
        <f t="shared" si="11"/>
        <v>-51.97381562179919</v>
      </c>
      <c r="P37" s="25"/>
      <c r="Q37" s="25"/>
      <c r="R37" s="25"/>
      <c r="S37" s="25"/>
      <c r="T37" s="4">
        <f t="shared" si="5"/>
        <v>74.5</v>
      </c>
      <c r="U37" s="18">
        <f t="shared" si="6"/>
        <v>0.77613508650044249</v>
      </c>
      <c r="V37" s="28">
        <f t="shared" si="12"/>
        <v>-10.021876135772152</v>
      </c>
      <c r="W37" s="28">
        <f t="shared" si="13"/>
        <v>-10.961551721071075</v>
      </c>
      <c r="Y37" s="13"/>
      <c r="Z37" s="13"/>
    </row>
    <row r="38" spans="1:26" x14ac:dyDescent="0.25">
      <c r="A38" s="17">
        <f t="shared" si="7"/>
        <v>36526.57400738517</v>
      </c>
      <c r="B38" s="18">
        <f t="shared" si="8"/>
        <v>53.396898580054419</v>
      </c>
      <c r="C38" s="18">
        <f t="shared" si="0"/>
        <v>55</v>
      </c>
      <c r="D38" s="29">
        <f t="shared" si="14"/>
        <v>-10.021876135772152</v>
      </c>
      <c r="E38" s="29">
        <f t="shared" si="15"/>
        <v>-10.961551721071075</v>
      </c>
      <c r="F38" s="4">
        <f t="shared" si="1"/>
        <v>2</v>
      </c>
      <c r="G38" s="4">
        <f t="shared" si="9"/>
        <v>1</v>
      </c>
      <c r="H38" s="31">
        <f t="shared" si="10"/>
        <v>36000</v>
      </c>
      <c r="I38" s="31">
        <v>0</v>
      </c>
      <c r="J38" s="31">
        <f t="shared" si="16"/>
        <v>67145.289618987212</v>
      </c>
      <c r="K38" s="31">
        <f t="shared" si="3"/>
        <v>31145.289618987212</v>
      </c>
      <c r="L38" s="31">
        <f t="shared" si="17"/>
        <v>36000</v>
      </c>
      <c r="M38" s="31">
        <f t="shared" si="4"/>
        <v>1146.384</v>
      </c>
      <c r="N38" s="31">
        <f t="shared" si="18"/>
        <v>72000</v>
      </c>
      <c r="O38" s="28">
        <f t="shared" si="11"/>
        <v>43.376540351642205</v>
      </c>
      <c r="P38" s="25"/>
      <c r="Q38" s="25"/>
      <c r="R38" s="25"/>
      <c r="S38" s="25"/>
      <c r="T38" s="4">
        <f t="shared" si="5"/>
        <v>70.5</v>
      </c>
      <c r="U38" s="18">
        <f t="shared" si="6"/>
        <v>0.22388888888888883</v>
      </c>
      <c r="V38" s="28">
        <f t="shared" si="12"/>
        <v>117.14275429347795</v>
      </c>
      <c r="W38" s="28">
        <f t="shared" si="13"/>
        <v>116.20307870817902</v>
      </c>
      <c r="Y38" s="13"/>
      <c r="Z38" s="13"/>
    </row>
    <row r="39" spans="1:26" x14ac:dyDescent="0.25">
      <c r="A39" s="17">
        <f t="shared" si="7"/>
        <v>36526.583336088872</v>
      </c>
      <c r="B39" s="18">
        <f t="shared" si="8"/>
        <v>53.844676357832199</v>
      </c>
      <c r="C39" s="18">
        <f t="shared" si="0"/>
        <v>56</v>
      </c>
      <c r="D39" s="29">
        <f t="shared" si="14"/>
        <v>117.14275429347795</v>
      </c>
      <c r="E39" s="29">
        <f t="shared" si="15"/>
        <v>116.20307870817902</v>
      </c>
      <c r="F39" s="4">
        <f t="shared" si="1"/>
        <v>1</v>
      </c>
      <c r="G39" s="4">
        <f t="shared" si="9"/>
        <v>-1</v>
      </c>
      <c r="H39" s="31">
        <f t="shared" si="10"/>
        <v>-36000</v>
      </c>
      <c r="I39" s="31">
        <v>0</v>
      </c>
      <c r="J39" s="31">
        <f t="shared" si="16"/>
        <v>-4867.3550050571175</v>
      </c>
      <c r="K39" s="31">
        <f t="shared" si="3"/>
        <v>31132.644994942882</v>
      </c>
      <c r="L39" s="31">
        <f t="shared" si="17"/>
        <v>-36000</v>
      </c>
      <c r="M39" s="31">
        <f t="shared" si="4"/>
        <v>573.19200000000001</v>
      </c>
      <c r="N39" s="31">
        <f t="shared" si="18"/>
        <v>-72000</v>
      </c>
      <c r="O39" s="28">
        <f t="shared" si="11"/>
        <v>-55.013314209584223</v>
      </c>
      <c r="P39" s="25"/>
      <c r="Q39" s="25"/>
      <c r="R39" s="25"/>
      <c r="S39" s="25"/>
      <c r="T39" s="4">
        <f t="shared" si="5"/>
        <v>74.5</v>
      </c>
      <c r="U39" s="18">
        <f t="shared" si="6"/>
        <v>0.7751351632992306</v>
      </c>
      <c r="V39" s="28">
        <f t="shared" si="12"/>
        <v>-8.4916659776429491</v>
      </c>
      <c r="W39" s="28">
        <f t="shared" si="13"/>
        <v>-8.9615037702924099</v>
      </c>
      <c r="Y39" s="13"/>
      <c r="Z39" s="13"/>
    </row>
    <row r="40" spans="1:26" x14ac:dyDescent="0.25">
      <c r="A40" s="17">
        <f t="shared" si="7"/>
        <v>36526.615633387344</v>
      </c>
      <c r="B40" s="18">
        <f t="shared" si="8"/>
        <v>54.619811521131432</v>
      </c>
      <c r="C40" s="18">
        <f t="shared" si="0"/>
        <v>56</v>
      </c>
      <c r="D40" s="29">
        <f t="shared" si="14"/>
        <v>-8.4916659776429491</v>
      </c>
      <c r="E40" s="29">
        <f t="shared" si="15"/>
        <v>-8.9615037702924099</v>
      </c>
      <c r="F40" s="4">
        <f t="shared" si="1"/>
        <v>1</v>
      </c>
      <c r="G40" s="4">
        <f t="shared" si="9"/>
        <v>1</v>
      </c>
      <c r="H40" s="31">
        <f t="shared" si="10"/>
        <v>36000</v>
      </c>
      <c r="I40" s="31">
        <v>0</v>
      </c>
      <c r="J40" s="31">
        <f t="shared" si="16"/>
        <v>67576.946269464694</v>
      </c>
      <c r="K40" s="31">
        <f t="shared" si="3"/>
        <v>31576.946269464697</v>
      </c>
      <c r="L40" s="31">
        <f t="shared" si="17"/>
        <v>36000</v>
      </c>
      <c r="M40" s="31">
        <f t="shared" si="4"/>
        <v>573.19200000000001</v>
      </c>
      <c r="N40" s="31">
        <f t="shared" si="18"/>
        <v>72000</v>
      </c>
      <c r="O40" s="28">
        <f t="shared" si="11"/>
        <v>46.177676197603731</v>
      </c>
      <c r="P40" s="25"/>
      <c r="Q40" s="25"/>
      <c r="R40" s="25"/>
      <c r="S40" s="25"/>
      <c r="T40" s="4">
        <f t="shared" si="5"/>
        <v>70.5</v>
      </c>
      <c r="U40" s="18">
        <f t="shared" si="6"/>
        <v>0.22472222222222216</v>
      </c>
      <c r="V40" s="28">
        <f t="shared" si="12"/>
        <v>117.89582944190549</v>
      </c>
      <c r="W40" s="28">
        <f t="shared" si="13"/>
        <v>117.42599164925605</v>
      </c>
      <c r="Y40" s="13"/>
      <c r="Z40" s="13"/>
    </row>
    <row r="41" spans="1:26" x14ac:dyDescent="0.25">
      <c r="A41" s="17">
        <f t="shared" si="7"/>
        <v>36526.624996813269</v>
      </c>
      <c r="B41" s="18">
        <f t="shared" si="8"/>
        <v>54.844533743353651</v>
      </c>
      <c r="C41" s="18">
        <f t="shared" ref="C41:C73" si="19">VLOOKUP(A41,weather,3)</f>
        <v>56</v>
      </c>
      <c r="D41" s="29">
        <f t="shared" si="14"/>
        <v>117.89582944190549</v>
      </c>
      <c r="E41" s="29">
        <f t="shared" si="15"/>
        <v>117.42599164925605</v>
      </c>
      <c r="F41" s="4">
        <f t="shared" ref="F41:F73" si="20">C41-VLOOKUP(A41,weather,2)</f>
        <v>1</v>
      </c>
      <c r="G41" s="4">
        <f t="shared" si="9"/>
        <v>-1</v>
      </c>
      <c r="H41" s="31">
        <f t="shared" si="10"/>
        <v>-36000</v>
      </c>
      <c r="I41" s="31">
        <v>0</v>
      </c>
      <c r="J41" s="31">
        <f t="shared" si="16"/>
        <v>-4294.2447505353048</v>
      </c>
      <c r="K41" s="31">
        <f t="shared" ref="K41:K73" si="21">UA*B41 + M41*CM/HM</f>
        <v>31705.755249464695</v>
      </c>
      <c r="L41" s="31">
        <f t="shared" si="17"/>
        <v>-36000</v>
      </c>
      <c r="M41" s="31">
        <f t="shared" ref="M41:M73" si="22">UA*(C41-VLOOKUP(A41,weather,2))</f>
        <v>573.19200000000001</v>
      </c>
      <c r="N41" s="31">
        <f t="shared" si="18"/>
        <v>-72000</v>
      </c>
      <c r="O41" s="28">
        <f t="shared" ref="O41:O73" si="23">HM/CA*E41+UA/CA*B41+H41/CA-(UA+HM)/CA*D41</f>
        <v>-51.996128084383827</v>
      </c>
      <c r="P41" s="25"/>
      <c r="Q41" s="25"/>
      <c r="R41" s="25"/>
      <c r="S41" s="25"/>
      <c r="T41" s="4">
        <f t="shared" ref="T41:T73" si="24">IF(G41=0,IF(O41&gt;0,TC+DB,TH-DB),IF(G41&gt;0,TH+DB,TC-DB))</f>
        <v>74.5</v>
      </c>
      <c r="U41" s="18">
        <f t="shared" ref="U41:U72" si="25">MIN((T41-D41)/O41,1-MINUTE(A41)/60-SECOND(A41)/3600)</f>
        <v>0.83459732562161115</v>
      </c>
      <c r="V41" s="28">
        <f t="shared" si="12"/>
        <v>-7.4918085921214965</v>
      </c>
      <c r="W41" s="28">
        <f t="shared" ref="W41:W73" si="26">P41*(CA/HM*p+UA/HM+1)*EXP(p*U41)+Q41*(CA/HM*q+UA/HM+1)*EXP(q*U41)+I41/HM+I41/UA+H41/UA+B41</f>
        <v>-7.9616463847709582</v>
      </c>
      <c r="Y41" s="13"/>
      <c r="Z41" s="13"/>
    </row>
    <row r="42" spans="1:26" x14ac:dyDescent="0.25">
      <c r="A42" s="17">
        <f t="shared" ref="A42:A73" si="27">A41+U41/24</f>
        <v>36526.659771701838</v>
      </c>
      <c r="B42" s="18">
        <f t="shared" ref="B42:B73" si="28">B41+U41*F41</f>
        <v>55.679131068975259</v>
      </c>
      <c r="C42" s="18">
        <f t="shared" si="19"/>
        <v>55</v>
      </c>
      <c r="D42" s="29">
        <f t="shared" si="14"/>
        <v>-7.4918085921214965</v>
      </c>
      <c r="E42" s="29">
        <f t="shared" si="15"/>
        <v>-7.9616463847709582</v>
      </c>
      <c r="F42" s="4">
        <f t="shared" si="20"/>
        <v>-1</v>
      </c>
      <c r="G42" s="4">
        <f t="shared" ref="G42:G73" si="29">IF(D42&lt;=TH-DB,1,IF(D42&gt;TC+DB,-1,0))</f>
        <v>1</v>
      </c>
      <c r="H42" s="31">
        <f t="shared" si="10"/>
        <v>36000</v>
      </c>
      <c r="I42" s="31">
        <v>0</v>
      </c>
      <c r="J42" s="31">
        <f t="shared" si="16"/>
        <v>67645.52523164374</v>
      </c>
      <c r="K42" s="31">
        <f t="shared" si="21"/>
        <v>31645.52523164374</v>
      </c>
      <c r="L42" s="31">
        <f t="shared" si="17"/>
        <v>36000</v>
      </c>
      <c r="M42" s="31">
        <f t="shared" si="22"/>
        <v>-573.19200000000001</v>
      </c>
      <c r="N42" s="31">
        <f t="shared" si="18"/>
        <v>72000</v>
      </c>
      <c r="O42" s="28">
        <f t="shared" si="23"/>
        <v>46.20086207226079</v>
      </c>
      <c r="P42" s="25"/>
      <c r="Q42" s="25"/>
      <c r="R42" s="25"/>
      <c r="S42" s="25"/>
      <c r="T42" s="4">
        <f t="shared" si="24"/>
        <v>70.5</v>
      </c>
      <c r="U42" s="18">
        <f t="shared" si="25"/>
        <v>0.16555555555555551</v>
      </c>
      <c r="V42" s="28">
        <f t="shared" ref="V42:V73" si="30">P42*EXP(p*U42)+Q42*EXP(q*U42)+J42/c_</f>
        <v>118.0154734044504</v>
      </c>
      <c r="W42" s="28">
        <f t="shared" si="26"/>
        <v>118.48531119709986</v>
      </c>
      <c r="Y42" s="13"/>
      <c r="Z42" s="13"/>
    </row>
    <row r="43" spans="1:26" x14ac:dyDescent="0.25">
      <c r="A43" s="17">
        <f t="shared" si="27"/>
        <v>36526.666669849983</v>
      </c>
      <c r="B43" s="18">
        <f t="shared" si="28"/>
        <v>55.513575513419703</v>
      </c>
      <c r="C43" s="18">
        <f t="shared" si="19"/>
        <v>53</v>
      </c>
      <c r="D43" s="29">
        <f t="shared" si="14"/>
        <v>118.0154734044504</v>
      </c>
      <c r="E43" s="29">
        <f t="shared" si="15"/>
        <v>118.48531119709986</v>
      </c>
      <c r="F43" s="4">
        <f t="shared" si="20"/>
        <v>-2</v>
      </c>
      <c r="G43" s="4">
        <f t="shared" si="29"/>
        <v>-1</v>
      </c>
      <c r="H43" s="31">
        <f t="shared" si="10"/>
        <v>-36000</v>
      </c>
      <c r="I43" s="31">
        <v>0</v>
      </c>
      <c r="J43" s="31">
        <f t="shared" si="16"/>
        <v>-4718.6771524005926</v>
      </c>
      <c r="K43" s="31">
        <f t="shared" si="21"/>
        <v>31281.322847599407</v>
      </c>
      <c r="L43" s="31">
        <f t="shared" si="17"/>
        <v>-36000</v>
      </c>
      <c r="M43" s="31">
        <f t="shared" si="22"/>
        <v>-1146.384</v>
      </c>
      <c r="N43" s="31">
        <f t="shared" si="18"/>
        <v>-72000</v>
      </c>
      <c r="O43" s="28">
        <f t="shared" si="23"/>
        <v>-45.939984936024302</v>
      </c>
      <c r="P43" s="25"/>
      <c r="Q43" s="25"/>
      <c r="R43" s="25"/>
      <c r="S43" s="25"/>
      <c r="T43" s="4">
        <f t="shared" si="24"/>
        <v>74.5</v>
      </c>
      <c r="U43" s="18">
        <f t="shared" si="25"/>
        <v>0.94722437251665936</v>
      </c>
      <c r="V43" s="28">
        <f t="shared" si="30"/>
        <v>-8.2322802000038244</v>
      </c>
      <c r="W43" s="28">
        <f t="shared" si="26"/>
        <v>-7.2926046147049064</v>
      </c>
      <c r="Y43" s="13"/>
      <c r="Z43" s="13"/>
    </row>
    <row r="44" spans="1:26" x14ac:dyDescent="0.25">
      <c r="A44" s="17">
        <f t="shared" si="27"/>
        <v>36526.706137532172</v>
      </c>
      <c r="B44" s="18">
        <f t="shared" si="28"/>
        <v>53.619126768386387</v>
      </c>
      <c r="C44" s="18">
        <f t="shared" si="19"/>
        <v>53</v>
      </c>
      <c r="D44" s="29">
        <f t="shared" si="14"/>
        <v>-8.2322802000038244</v>
      </c>
      <c r="E44" s="29">
        <f t="shared" si="15"/>
        <v>-7.2926046147049064</v>
      </c>
      <c r="F44" s="4">
        <f t="shared" si="20"/>
        <v>-2</v>
      </c>
      <c r="G44" s="4">
        <f t="shared" si="29"/>
        <v>1</v>
      </c>
      <c r="H44" s="31">
        <f t="shared" si="10"/>
        <v>36000</v>
      </c>
      <c r="I44" s="31">
        <v>0</v>
      </c>
      <c r="J44" s="31">
        <f t="shared" si="16"/>
        <v>66195.439982536278</v>
      </c>
      <c r="K44" s="31">
        <f t="shared" si="21"/>
        <v>30195.439982536271</v>
      </c>
      <c r="L44" s="31">
        <f t="shared" si="17"/>
        <v>36000</v>
      </c>
      <c r="M44" s="31">
        <f t="shared" si="22"/>
        <v>-1146.384</v>
      </c>
      <c r="N44" s="31">
        <f t="shared" si="18"/>
        <v>72000</v>
      </c>
      <c r="O44" s="28">
        <f t="shared" si="23"/>
        <v>54.449218818384708</v>
      </c>
      <c r="P44" s="25"/>
      <c r="Q44" s="25"/>
      <c r="R44" s="25"/>
      <c r="S44" s="25"/>
      <c r="T44" s="4">
        <f t="shared" si="24"/>
        <v>70.5</v>
      </c>
      <c r="U44" s="18">
        <f t="shared" si="25"/>
        <v>5.2777777777777764E-2</v>
      </c>
      <c r="V44" s="28">
        <f t="shared" si="30"/>
        <v>115.48563131121209</v>
      </c>
      <c r="W44" s="28">
        <f t="shared" si="26"/>
        <v>116.42530689651099</v>
      </c>
      <c r="Y44" s="13"/>
      <c r="Z44" s="13"/>
    </row>
    <row r="45" spans="1:26" x14ac:dyDescent="0.25">
      <c r="A45" s="17">
        <f t="shared" si="27"/>
        <v>36526.708336606243</v>
      </c>
      <c r="B45" s="18">
        <f t="shared" si="28"/>
        <v>53.513571212830833</v>
      </c>
      <c r="C45" s="18">
        <f t="shared" si="19"/>
        <v>52</v>
      </c>
      <c r="D45" s="29">
        <f t="shared" si="14"/>
        <v>115.48563131121209</v>
      </c>
      <c r="E45" s="29">
        <f t="shared" si="15"/>
        <v>116.42530689651099</v>
      </c>
      <c r="F45" s="4">
        <f t="shared" si="20"/>
        <v>-1</v>
      </c>
      <c r="G45" s="4">
        <f t="shared" si="29"/>
        <v>-1</v>
      </c>
      <c r="H45" s="31">
        <f t="shared" si="10"/>
        <v>-36000</v>
      </c>
      <c r="I45" s="31">
        <v>0</v>
      </c>
      <c r="J45" s="31">
        <f t="shared" si="16"/>
        <v>-5595.7563534193978</v>
      </c>
      <c r="K45" s="31">
        <f t="shared" si="21"/>
        <v>30404.243646580602</v>
      </c>
      <c r="L45" s="31">
        <f t="shared" si="17"/>
        <v>-36000</v>
      </c>
      <c r="M45" s="31">
        <f t="shared" si="22"/>
        <v>-573.19200000000001</v>
      </c>
      <c r="N45" s="31">
        <f t="shared" si="18"/>
        <v>-72000</v>
      </c>
      <c r="O45" s="28">
        <f t="shared" si="23"/>
        <v>-42.812427940075963</v>
      </c>
      <c r="P45" s="25"/>
      <c r="Q45" s="25"/>
      <c r="R45" s="25"/>
      <c r="S45" s="25"/>
      <c r="T45" s="4">
        <f t="shared" si="24"/>
        <v>74.5</v>
      </c>
      <c r="U45" s="18">
        <f t="shared" si="25"/>
        <v>0.95733022590027317</v>
      </c>
      <c r="V45" s="28">
        <f t="shared" si="30"/>
        <v>-9.7624467079432335</v>
      </c>
      <c r="W45" s="28">
        <f t="shared" si="26"/>
        <v>-9.2926089152937763</v>
      </c>
      <c r="Y45" s="13"/>
      <c r="Z45" s="13"/>
    </row>
    <row r="46" spans="1:26" x14ac:dyDescent="0.25">
      <c r="A46" s="17">
        <f t="shared" si="27"/>
        <v>36526.748225365656</v>
      </c>
      <c r="B46" s="18">
        <f t="shared" si="28"/>
        <v>52.556240986930561</v>
      </c>
      <c r="C46" s="18">
        <f t="shared" si="19"/>
        <v>52</v>
      </c>
      <c r="D46" s="29">
        <f t="shared" si="14"/>
        <v>-9.7624467079432335</v>
      </c>
      <c r="E46" s="29">
        <f t="shared" si="15"/>
        <v>-9.2926089152937763</v>
      </c>
      <c r="F46" s="4">
        <f t="shared" si="20"/>
        <v>-1</v>
      </c>
      <c r="G46" s="4">
        <f t="shared" si="29"/>
        <v>1</v>
      </c>
      <c r="H46" s="31">
        <f t="shared" si="10"/>
        <v>36000</v>
      </c>
      <c r="I46" s="31">
        <v>0</v>
      </c>
      <c r="J46" s="31">
        <f t="shared" si="16"/>
        <v>65855.509619736375</v>
      </c>
      <c r="K46" s="31">
        <f t="shared" si="21"/>
        <v>29855.509619736375</v>
      </c>
      <c r="L46" s="31">
        <f t="shared" si="17"/>
        <v>36000</v>
      </c>
      <c r="M46" s="31">
        <f t="shared" si="22"/>
        <v>-573.19200000000001</v>
      </c>
      <c r="N46" s="31">
        <f t="shared" si="18"/>
        <v>72000</v>
      </c>
      <c r="O46" s="28">
        <f t="shared" si="23"/>
        <v>51.710464787210952</v>
      </c>
      <c r="P46" s="25"/>
      <c r="Q46" s="25"/>
      <c r="R46" s="25"/>
      <c r="S46" s="25"/>
      <c r="T46" s="4">
        <f t="shared" si="24"/>
        <v>70.5</v>
      </c>
      <c r="U46" s="18">
        <f t="shared" si="25"/>
        <v>4.2500000000000045E-2</v>
      </c>
      <c r="V46" s="28">
        <f t="shared" si="30"/>
        <v>114.89258332240571</v>
      </c>
      <c r="W46" s="28">
        <f t="shared" si="26"/>
        <v>115.36242111505517</v>
      </c>
      <c r="Y46" s="13"/>
      <c r="Z46" s="13"/>
    </row>
    <row r="47" spans="1:26" x14ac:dyDescent="0.25">
      <c r="A47" s="17">
        <f t="shared" si="27"/>
        <v>36526.749996198989</v>
      </c>
      <c r="B47" s="18">
        <f t="shared" si="28"/>
        <v>52.513740986930564</v>
      </c>
      <c r="C47" s="18">
        <f t="shared" si="19"/>
        <v>52</v>
      </c>
      <c r="D47" s="29">
        <f t="shared" si="14"/>
        <v>114.89258332240571</v>
      </c>
      <c r="E47" s="29">
        <f t="shared" si="15"/>
        <v>115.36242111505517</v>
      </c>
      <c r="F47" s="4">
        <f t="shared" si="20"/>
        <v>-1</v>
      </c>
      <c r="G47" s="4">
        <f t="shared" si="29"/>
        <v>-1</v>
      </c>
      <c r="H47" s="31">
        <f t="shared" si="10"/>
        <v>-36000</v>
      </c>
      <c r="I47" s="31">
        <v>0</v>
      </c>
      <c r="J47" s="31">
        <f t="shared" si="16"/>
        <v>-6168.8510402636239</v>
      </c>
      <c r="K47" s="31">
        <f t="shared" si="21"/>
        <v>29831.148959736376</v>
      </c>
      <c r="L47" s="31">
        <f t="shared" si="17"/>
        <v>-36000</v>
      </c>
      <c r="M47" s="31">
        <f t="shared" si="22"/>
        <v>-573.19200000000001</v>
      </c>
      <c r="N47" s="31">
        <f t="shared" si="18"/>
        <v>-72000</v>
      </c>
      <c r="O47" s="28">
        <f t="shared" si="23"/>
        <v>-45.892002310174007</v>
      </c>
      <c r="P47" s="25"/>
      <c r="Q47" s="25"/>
      <c r="R47" s="25"/>
      <c r="S47" s="25"/>
      <c r="T47" s="4">
        <f t="shared" si="24"/>
        <v>74.5</v>
      </c>
      <c r="U47" s="18">
        <f t="shared" si="25"/>
        <v>0.88016607010086589</v>
      </c>
      <c r="V47" s="28">
        <f t="shared" si="30"/>
        <v>-10.7622769338435</v>
      </c>
      <c r="W47" s="28">
        <f t="shared" si="26"/>
        <v>-10.292439141194045</v>
      </c>
      <c r="Y47" s="13"/>
      <c r="Z47" s="13"/>
    </row>
    <row r="48" spans="1:26" x14ac:dyDescent="0.25">
      <c r="A48" s="17">
        <f t="shared" si="27"/>
        <v>36526.786669785244</v>
      </c>
      <c r="B48" s="18">
        <f t="shared" si="28"/>
        <v>51.633574916829701</v>
      </c>
      <c r="C48" s="18">
        <f t="shared" si="19"/>
        <v>51</v>
      </c>
      <c r="D48" s="29">
        <f t="shared" si="14"/>
        <v>-10.7622769338435</v>
      </c>
      <c r="E48" s="29">
        <f t="shared" si="15"/>
        <v>-10.292439141194045</v>
      </c>
      <c r="F48" s="4">
        <f t="shared" si="20"/>
        <v>-1</v>
      </c>
      <c r="G48" s="4">
        <f t="shared" si="29"/>
        <v>1</v>
      </c>
      <c r="H48" s="31">
        <f t="shared" si="10"/>
        <v>36000</v>
      </c>
      <c r="I48" s="31">
        <v>0</v>
      </c>
      <c r="J48" s="31">
        <f t="shared" si="16"/>
        <v>65326.644809683123</v>
      </c>
      <c r="K48" s="31">
        <f t="shared" si="21"/>
        <v>29326.644809683123</v>
      </c>
      <c r="L48" s="31">
        <f t="shared" si="17"/>
        <v>36000</v>
      </c>
      <c r="M48" s="31">
        <f t="shared" si="22"/>
        <v>-573.19200000000001</v>
      </c>
      <c r="N48" s="31">
        <f t="shared" si="18"/>
        <v>72000</v>
      </c>
      <c r="O48" s="28">
        <f t="shared" si="23"/>
        <v>51.740553138769428</v>
      </c>
      <c r="P48" s="25"/>
      <c r="Q48" s="25"/>
      <c r="R48" s="25"/>
      <c r="S48" s="25"/>
      <c r="T48" s="4">
        <f t="shared" si="24"/>
        <v>70.5</v>
      </c>
      <c r="U48" s="18">
        <f t="shared" si="25"/>
        <v>0.11999999999999997</v>
      </c>
      <c r="V48" s="28">
        <f t="shared" si="30"/>
        <v>113.96991725230485</v>
      </c>
      <c r="W48" s="28">
        <f t="shared" si="26"/>
        <v>114.43975504495431</v>
      </c>
      <c r="Y48" s="13"/>
      <c r="Z48" s="13"/>
    </row>
    <row r="49" spans="1:26" x14ac:dyDescent="0.25">
      <c r="A49" s="17">
        <f t="shared" si="27"/>
        <v>36526.791669785242</v>
      </c>
      <c r="B49" s="18">
        <f t="shared" si="28"/>
        <v>51.513574916829704</v>
      </c>
      <c r="C49" s="18">
        <f t="shared" si="19"/>
        <v>51</v>
      </c>
      <c r="D49" s="29">
        <f t="shared" si="14"/>
        <v>113.96991725230485</v>
      </c>
      <c r="E49" s="29">
        <f t="shared" si="15"/>
        <v>114.43975504495431</v>
      </c>
      <c r="F49" s="4">
        <f t="shared" si="20"/>
        <v>0</v>
      </c>
      <c r="G49" s="4">
        <f t="shared" si="29"/>
        <v>-1</v>
      </c>
      <c r="H49" s="31">
        <f t="shared" si="10"/>
        <v>-36000</v>
      </c>
      <c r="I49" s="31">
        <v>0</v>
      </c>
      <c r="J49" s="31">
        <f t="shared" si="16"/>
        <v>-6472.8309662725478</v>
      </c>
      <c r="K49" s="31">
        <f t="shared" si="21"/>
        <v>29527.169033727452</v>
      </c>
      <c r="L49" s="31">
        <f t="shared" si="17"/>
        <v>-36000</v>
      </c>
      <c r="M49" s="31">
        <f t="shared" si="22"/>
        <v>0</v>
      </c>
      <c r="N49" s="31">
        <f t="shared" si="18"/>
        <v>-72000</v>
      </c>
      <c r="O49" s="28">
        <f t="shared" si="23"/>
        <v>-45.922221616296497</v>
      </c>
      <c r="P49" s="25"/>
      <c r="Q49" s="25"/>
      <c r="R49" s="25"/>
      <c r="S49" s="25"/>
      <c r="T49" s="4">
        <f t="shared" si="24"/>
        <v>74.5</v>
      </c>
      <c r="U49" s="18">
        <f t="shared" si="25"/>
        <v>0.85949494303860285</v>
      </c>
      <c r="V49" s="28">
        <f t="shared" si="30"/>
        <v>-11.292605211294902</v>
      </c>
      <c r="W49" s="28">
        <f t="shared" si="26"/>
        <v>-11.292605211294905</v>
      </c>
      <c r="Y49" s="13"/>
      <c r="Z49" s="13"/>
    </row>
    <row r="50" spans="1:26" x14ac:dyDescent="0.25">
      <c r="A50" s="17">
        <f t="shared" si="27"/>
        <v>36526.827482074536</v>
      </c>
      <c r="B50" s="18">
        <f t="shared" si="28"/>
        <v>51.513574916829704</v>
      </c>
      <c r="C50" s="18">
        <f t="shared" si="19"/>
        <v>51</v>
      </c>
      <c r="D50" s="29">
        <f t="shared" si="14"/>
        <v>-11.292605211294902</v>
      </c>
      <c r="E50" s="29">
        <f t="shared" si="15"/>
        <v>-11.292605211294905</v>
      </c>
      <c r="F50" s="4">
        <f t="shared" si="20"/>
        <v>0</v>
      </c>
      <c r="G50" s="4">
        <f t="shared" si="29"/>
        <v>1</v>
      </c>
      <c r="H50" s="31">
        <f t="shared" si="10"/>
        <v>36000</v>
      </c>
      <c r="I50" s="31">
        <v>0</v>
      </c>
      <c r="J50" s="31">
        <f t="shared" si="16"/>
        <v>65527.169033727449</v>
      </c>
      <c r="K50" s="31">
        <f t="shared" si="21"/>
        <v>29527.169033727452</v>
      </c>
      <c r="L50" s="31">
        <f t="shared" si="17"/>
        <v>36000</v>
      </c>
      <c r="M50" s="31">
        <f t="shared" si="22"/>
        <v>0</v>
      </c>
      <c r="N50" s="31">
        <f t="shared" si="18"/>
        <v>72000</v>
      </c>
      <c r="O50" s="28">
        <f t="shared" si="23"/>
        <v>48.979591836734684</v>
      </c>
      <c r="P50" s="25"/>
      <c r="Q50" s="25"/>
      <c r="R50" s="25"/>
      <c r="S50" s="25"/>
      <c r="T50" s="4">
        <f t="shared" si="24"/>
        <v>70.5</v>
      </c>
      <c r="U50" s="18">
        <f t="shared" si="25"/>
        <v>0.14055555555555557</v>
      </c>
      <c r="V50" s="28">
        <f t="shared" si="30"/>
        <v>114.31975504495431</v>
      </c>
      <c r="W50" s="28">
        <f t="shared" si="26"/>
        <v>114.31975504495432</v>
      </c>
      <c r="Y50" s="13"/>
      <c r="Z50" s="13"/>
    </row>
    <row r="51" spans="1:26" x14ac:dyDescent="0.25">
      <c r="A51" s="17">
        <f t="shared" si="27"/>
        <v>36526.833338556018</v>
      </c>
      <c r="B51" s="18">
        <f t="shared" si="28"/>
        <v>51.513574916829704</v>
      </c>
      <c r="C51" s="18">
        <f t="shared" si="19"/>
        <v>50</v>
      </c>
      <c r="D51" s="29">
        <f t="shared" si="14"/>
        <v>114.31975504495431</v>
      </c>
      <c r="E51" s="29">
        <f t="shared" si="15"/>
        <v>114.31975504495432</v>
      </c>
      <c r="F51" s="4">
        <f t="shared" si="20"/>
        <v>-1</v>
      </c>
      <c r="G51" s="4">
        <f t="shared" si="29"/>
        <v>-1</v>
      </c>
      <c r="H51" s="31">
        <f t="shared" si="10"/>
        <v>-36000</v>
      </c>
      <c r="I51" s="31">
        <v>0</v>
      </c>
      <c r="J51" s="31">
        <f t="shared" si="16"/>
        <v>-6742.1382303168757</v>
      </c>
      <c r="K51" s="31">
        <f t="shared" si="21"/>
        <v>29257.861769683124</v>
      </c>
      <c r="L51" s="31">
        <f t="shared" si="17"/>
        <v>-36000</v>
      </c>
      <c r="M51" s="31">
        <f t="shared" si="22"/>
        <v>-573.19200000000001</v>
      </c>
      <c r="N51" s="31">
        <f t="shared" si="18"/>
        <v>-72000</v>
      </c>
      <c r="O51" s="28">
        <f t="shared" si="23"/>
        <v>-48.979591836734699</v>
      </c>
      <c r="P51" s="25"/>
      <c r="Q51" s="25"/>
      <c r="R51" s="25"/>
      <c r="S51" s="25"/>
      <c r="T51" s="4">
        <f t="shared" si="24"/>
        <v>74.5</v>
      </c>
      <c r="U51" s="18">
        <f t="shared" si="25"/>
        <v>0.81298666550115029</v>
      </c>
      <c r="V51" s="28">
        <f t="shared" si="30"/>
        <v>-11.762443003944361</v>
      </c>
      <c r="W51" s="28">
        <f t="shared" si="26"/>
        <v>-11.292605211294905</v>
      </c>
      <c r="Y51" s="13"/>
      <c r="Z51" s="13"/>
    </row>
    <row r="52" spans="1:26" x14ac:dyDescent="0.25">
      <c r="A52" s="17">
        <f t="shared" si="27"/>
        <v>36526.867213000412</v>
      </c>
      <c r="B52" s="18">
        <f t="shared" si="28"/>
        <v>50.700588251328554</v>
      </c>
      <c r="C52" s="18">
        <f t="shared" si="19"/>
        <v>50</v>
      </c>
      <c r="D52" s="29">
        <f t="shared" si="14"/>
        <v>-11.762443003944361</v>
      </c>
      <c r="E52" s="29">
        <f t="shared" si="15"/>
        <v>-11.292605211294905</v>
      </c>
      <c r="F52" s="4">
        <f t="shared" si="20"/>
        <v>-1</v>
      </c>
      <c r="G52" s="4">
        <f t="shared" si="29"/>
        <v>1</v>
      </c>
      <c r="H52" s="31">
        <f t="shared" si="10"/>
        <v>36000</v>
      </c>
      <c r="I52" s="31">
        <v>0</v>
      </c>
      <c r="J52" s="31">
        <f t="shared" si="16"/>
        <v>64791.864316911189</v>
      </c>
      <c r="K52" s="31">
        <f t="shared" si="21"/>
        <v>28791.864316911189</v>
      </c>
      <c r="L52" s="31">
        <f t="shared" si="17"/>
        <v>36000</v>
      </c>
      <c r="M52" s="31">
        <f t="shared" si="22"/>
        <v>-573.19200000000001</v>
      </c>
      <c r="N52" s="31">
        <f t="shared" si="18"/>
        <v>72000</v>
      </c>
      <c r="O52" s="28">
        <f t="shared" si="23"/>
        <v>51.766748170933582</v>
      </c>
      <c r="P52" s="25"/>
      <c r="Q52" s="25"/>
      <c r="R52" s="25"/>
      <c r="S52" s="25"/>
      <c r="T52" s="4">
        <f t="shared" si="24"/>
        <v>70.5</v>
      </c>
      <c r="U52" s="18">
        <f t="shared" si="25"/>
        <v>0.18694444444444441</v>
      </c>
      <c r="V52" s="28">
        <f t="shared" si="30"/>
        <v>113.03693058680371</v>
      </c>
      <c r="W52" s="28">
        <f t="shared" si="26"/>
        <v>113.50676837945316</v>
      </c>
      <c r="Y52" s="13"/>
      <c r="Z52" s="13"/>
    </row>
    <row r="53" spans="1:26" x14ac:dyDescent="0.25">
      <c r="A53" s="17">
        <f t="shared" si="27"/>
        <v>36526.875002352266</v>
      </c>
      <c r="B53" s="18">
        <f t="shared" si="28"/>
        <v>50.513643806884112</v>
      </c>
      <c r="C53" s="18">
        <f t="shared" si="19"/>
        <v>48</v>
      </c>
      <c r="D53" s="29">
        <f t="shared" si="14"/>
        <v>113.03693058680371</v>
      </c>
      <c r="E53" s="29">
        <f t="shared" si="15"/>
        <v>113.50676837945316</v>
      </c>
      <c r="F53" s="4">
        <f t="shared" si="20"/>
        <v>-2</v>
      </c>
      <c r="G53" s="4">
        <f t="shared" si="29"/>
        <v>-1</v>
      </c>
      <c r="H53" s="31">
        <f t="shared" si="10"/>
        <v>-36000</v>
      </c>
      <c r="I53" s="31">
        <v>0</v>
      </c>
      <c r="J53" s="31">
        <f t="shared" si="16"/>
        <v>-7584.5980071331396</v>
      </c>
      <c r="K53" s="31">
        <f t="shared" si="21"/>
        <v>28415.40199286686</v>
      </c>
      <c r="L53" s="31">
        <f t="shared" si="17"/>
        <v>-36000</v>
      </c>
      <c r="M53" s="31">
        <f t="shared" si="22"/>
        <v>-1146.384</v>
      </c>
      <c r="N53" s="31">
        <f t="shared" si="18"/>
        <v>-72000</v>
      </c>
      <c r="O53" s="28">
        <f t="shared" si="23"/>
        <v>-45.94832503126247</v>
      </c>
      <c r="P53" s="25"/>
      <c r="Q53" s="25"/>
      <c r="R53" s="25"/>
      <c r="S53" s="25"/>
      <c r="T53" s="4">
        <f t="shared" si="24"/>
        <v>74.5</v>
      </c>
      <c r="U53" s="18">
        <f t="shared" si="25"/>
        <v>0.83870153178780349</v>
      </c>
      <c r="V53" s="28">
        <f t="shared" si="30"/>
        <v>-13.232211906539414</v>
      </c>
      <c r="W53" s="28">
        <f t="shared" si="26"/>
        <v>-12.292536321240497</v>
      </c>
      <c r="Y53" s="13"/>
      <c r="Z53" s="13"/>
    </row>
    <row r="54" spans="1:26" x14ac:dyDescent="0.25">
      <c r="A54" s="17">
        <f t="shared" si="27"/>
        <v>36526.909948249428</v>
      </c>
      <c r="B54" s="18">
        <f t="shared" si="28"/>
        <v>48.836240743308508</v>
      </c>
      <c r="C54" s="18">
        <f t="shared" si="19"/>
        <v>48</v>
      </c>
      <c r="D54" s="29">
        <f t="shared" si="14"/>
        <v>-13.232211906539414</v>
      </c>
      <c r="E54" s="29">
        <f t="shared" si="15"/>
        <v>-12.292536321240497</v>
      </c>
      <c r="F54" s="4">
        <f t="shared" si="20"/>
        <v>-2</v>
      </c>
      <c r="G54" s="4">
        <f t="shared" si="29"/>
        <v>1</v>
      </c>
      <c r="H54" s="31">
        <f t="shared" si="10"/>
        <v>36000</v>
      </c>
      <c r="I54" s="31">
        <v>0</v>
      </c>
      <c r="J54" s="31">
        <f t="shared" si="16"/>
        <v>63453.927976049832</v>
      </c>
      <c r="K54" s="31">
        <f t="shared" si="21"/>
        <v>27453.927976049832</v>
      </c>
      <c r="L54" s="31">
        <f t="shared" si="17"/>
        <v>36000</v>
      </c>
      <c r="M54" s="31">
        <f t="shared" si="22"/>
        <v>-1146.384</v>
      </c>
      <c r="N54" s="31">
        <f t="shared" si="18"/>
        <v>72000</v>
      </c>
      <c r="O54" s="28">
        <f t="shared" si="23"/>
        <v>54.533850687939889</v>
      </c>
      <c r="P54" s="25"/>
      <c r="Q54" s="25"/>
      <c r="R54" s="25"/>
      <c r="S54" s="25"/>
      <c r="T54" s="4">
        <f t="shared" si="24"/>
        <v>70.5</v>
      </c>
      <c r="U54" s="18">
        <f t="shared" si="25"/>
        <v>0.16111111111111107</v>
      </c>
      <c r="V54" s="28">
        <f t="shared" si="30"/>
        <v>110.70274528613419</v>
      </c>
      <c r="W54" s="28">
        <f t="shared" si="26"/>
        <v>111.64242087143312</v>
      </c>
      <c r="Y54" s="13"/>
      <c r="Z54" s="13"/>
    </row>
    <row r="55" spans="1:26" x14ac:dyDescent="0.25">
      <c r="A55" s="17">
        <f t="shared" si="27"/>
        <v>36526.916661212388</v>
      </c>
      <c r="B55" s="18">
        <f t="shared" si="28"/>
        <v>48.514018521086285</v>
      </c>
      <c r="C55" s="18">
        <f t="shared" si="19"/>
        <v>48</v>
      </c>
      <c r="D55" s="29">
        <f t="shared" si="14"/>
        <v>110.70274528613419</v>
      </c>
      <c r="E55" s="29">
        <f t="shared" si="15"/>
        <v>111.64242087143312</v>
      </c>
      <c r="F55" s="4">
        <f t="shared" si="20"/>
        <v>-2</v>
      </c>
      <c r="G55" s="4">
        <f t="shared" si="29"/>
        <v>-1</v>
      </c>
      <c r="H55" s="31">
        <f t="shared" si="10"/>
        <v>-36000</v>
      </c>
      <c r="I55" s="31">
        <v>0</v>
      </c>
      <c r="J55" s="31">
        <f t="shared" si="16"/>
        <v>-8730.7672239501699</v>
      </c>
      <c r="K55" s="31">
        <f t="shared" si="21"/>
        <v>27269.23277604983</v>
      </c>
      <c r="L55" s="31">
        <f t="shared" si="17"/>
        <v>-36000</v>
      </c>
      <c r="M55" s="31">
        <f t="shared" si="22"/>
        <v>-1146.384</v>
      </c>
      <c r="N55" s="31">
        <f t="shared" si="18"/>
        <v>-72000</v>
      </c>
      <c r="O55" s="28">
        <f t="shared" si="23"/>
        <v>-42.896912021708431</v>
      </c>
      <c r="P55" s="25"/>
      <c r="Q55" s="25"/>
      <c r="R55" s="25"/>
      <c r="S55" s="25"/>
      <c r="T55" s="4">
        <f t="shared" si="24"/>
        <v>74.5</v>
      </c>
      <c r="U55" s="18">
        <f t="shared" si="25"/>
        <v>0.84394758456770524</v>
      </c>
      <c r="V55" s="28">
        <f t="shared" si="30"/>
        <v>-15.231837192337244</v>
      </c>
      <c r="W55" s="28">
        <f t="shared" si="26"/>
        <v>-14.292161607038324</v>
      </c>
      <c r="Y55" s="13"/>
      <c r="Z55" s="13"/>
    </row>
    <row r="56" spans="1:26" x14ac:dyDescent="0.25">
      <c r="A56" s="17">
        <f t="shared" si="27"/>
        <v>36526.951825695076</v>
      </c>
      <c r="B56" s="18">
        <f t="shared" si="28"/>
        <v>46.826123351950876</v>
      </c>
      <c r="C56" s="18">
        <f t="shared" si="19"/>
        <v>46</v>
      </c>
      <c r="D56" s="29">
        <f t="shared" si="14"/>
        <v>-15.231837192337244</v>
      </c>
      <c r="E56" s="29">
        <f t="shared" si="15"/>
        <v>-14.292161607038324</v>
      </c>
      <c r="F56" s="4">
        <f t="shared" si="20"/>
        <v>-2</v>
      </c>
      <c r="G56" s="4">
        <f t="shared" si="29"/>
        <v>1</v>
      </c>
      <c r="H56" s="31">
        <f t="shared" si="10"/>
        <v>36000</v>
      </c>
      <c r="I56" s="31">
        <v>0</v>
      </c>
      <c r="J56" s="31">
        <f t="shared" si="16"/>
        <v>62301.744768262768</v>
      </c>
      <c r="K56" s="31">
        <f t="shared" si="21"/>
        <v>26301.744768262768</v>
      </c>
      <c r="L56" s="31">
        <f t="shared" si="17"/>
        <v>36000</v>
      </c>
      <c r="M56" s="31">
        <f t="shared" si="22"/>
        <v>-1146.384</v>
      </c>
      <c r="N56" s="31">
        <f t="shared" si="18"/>
        <v>72000</v>
      </c>
      <c r="O56" s="28">
        <f t="shared" si="23"/>
        <v>54.529759537620151</v>
      </c>
      <c r="P56" s="25"/>
      <c r="Q56" s="25"/>
      <c r="R56" s="25"/>
      <c r="S56" s="25"/>
      <c r="T56" s="4">
        <f t="shared" si="24"/>
        <v>70.5</v>
      </c>
      <c r="U56" s="18">
        <f t="shared" si="25"/>
        <v>0.15611111111111106</v>
      </c>
      <c r="V56" s="28">
        <f t="shared" si="30"/>
        <v>108.69262789477656</v>
      </c>
      <c r="W56" s="28">
        <f t="shared" si="26"/>
        <v>109.63230348007548</v>
      </c>
      <c r="Y56" s="13"/>
      <c r="Z56" s="13"/>
    </row>
    <row r="57" spans="1:26" x14ac:dyDescent="0.25">
      <c r="A57" s="17">
        <f t="shared" si="27"/>
        <v>36526.958330324705</v>
      </c>
      <c r="B57" s="18">
        <f t="shared" si="28"/>
        <v>46.513901129728652</v>
      </c>
      <c r="C57" s="18">
        <f t="shared" si="19"/>
        <v>46</v>
      </c>
      <c r="D57" s="29">
        <f t="shared" si="14"/>
        <v>108.69262789477656</v>
      </c>
      <c r="E57" s="29">
        <f t="shared" si="15"/>
        <v>109.63230348007548</v>
      </c>
      <c r="F57" s="4">
        <f t="shared" si="20"/>
        <v>-2</v>
      </c>
      <c r="G57" s="4">
        <f t="shared" si="29"/>
        <v>-1</v>
      </c>
      <c r="H57" s="31">
        <f t="shared" si="10"/>
        <v>-36000</v>
      </c>
      <c r="I57" s="31">
        <v>0</v>
      </c>
      <c r="J57" s="31">
        <f t="shared" si="16"/>
        <v>-9877.2185117372355</v>
      </c>
      <c r="K57" s="31">
        <f t="shared" si="21"/>
        <v>26122.781488262764</v>
      </c>
      <c r="L57" s="31">
        <f t="shared" si="17"/>
        <v>-36000</v>
      </c>
      <c r="M57" s="31">
        <f t="shared" si="22"/>
        <v>-1146.384</v>
      </c>
      <c r="N57" s="31">
        <f t="shared" si="18"/>
        <v>-72000</v>
      </c>
      <c r="O57" s="28">
        <f t="shared" si="23"/>
        <v>-42.893012756402413</v>
      </c>
      <c r="P57" s="25"/>
      <c r="Q57" s="25"/>
      <c r="R57" s="25"/>
      <c r="S57" s="25"/>
      <c r="T57" s="4">
        <f t="shared" si="24"/>
        <v>74.5</v>
      </c>
      <c r="U57" s="18">
        <f t="shared" si="25"/>
        <v>0.79716078907683652</v>
      </c>
      <c r="V57" s="28">
        <f t="shared" si="30"/>
        <v>-17.231954583694879</v>
      </c>
      <c r="W57" s="28">
        <f t="shared" si="26"/>
        <v>-16.292278998395958</v>
      </c>
      <c r="Y57" s="13"/>
      <c r="Z57" s="13"/>
    </row>
    <row r="58" spans="1:26" x14ac:dyDescent="0.25">
      <c r="A58" s="17">
        <f t="shared" si="27"/>
        <v>36526.991545357581</v>
      </c>
      <c r="B58" s="18">
        <f t="shared" si="28"/>
        <v>44.919579551574977</v>
      </c>
      <c r="C58" s="18">
        <f t="shared" si="19"/>
        <v>44</v>
      </c>
      <c r="D58" s="29">
        <f t="shared" si="14"/>
        <v>-17.231954583694879</v>
      </c>
      <c r="E58" s="29">
        <f t="shared" si="15"/>
        <v>-16.292278998395958</v>
      </c>
      <c r="F58" s="4">
        <f t="shared" si="20"/>
        <v>-2</v>
      </c>
      <c r="G58" s="4">
        <f t="shared" si="29"/>
        <v>1</v>
      </c>
      <c r="H58" s="31">
        <f t="shared" si="10"/>
        <v>36000</v>
      </c>
      <c r="I58" s="31">
        <v>0</v>
      </c>
      <c r="J58" s="31">
        <f t="shared" si="16"/>
        <v>61208.929114237704</v>
      </c>
      <c r="K58" s="31">
        <f t="shared" si="21"/>
        <v>25208.929114237704</v>
      </c>
      <c r="L58" s="31">
        <f t="shared" si="17"/>
        <v>36000</v>
      </c>
      <c r="M58" s="31">
        <f t="shared" si="22"/>
        <v>-1146.384</v>
      </c>
      <c r="N58" s="31">
        <f t="shared" si="18"/>
        <v>72000</v>
      </c>
      <c r="O58" s="28">
        <f t="shared" si="23"/>
        <v>54.566246363308593</v>
      </c>
      <c r="P58" s="25"/>
      <c r="Q58" s="25"/>
      <c r="R58" s="25"/>
      <c r="S58" s="25"/>
      <c r="T58" s="4">
        <f t="shared" si="24"/>
        <v>70.5</v>
      </c>
      <c r="U58" s="18">
        <f t="shared" si="25"/>
        <v>0.20277777777777778</v>
      </c>
      <c r="V58" s="28">
        <f t="shared" si="30"/>
        <v>106.78608409440066</v>
      </c>
      <c r="W58" s="28">
        <f t="shared" si="26"/>
        <v>107.72575967969959</v>
      </c>
      <c r="Y58" s="13"/>
      <c r="Z58" s="13"/>
    </row>
    <row r="59" spans="1:26" x14ac:dyDescent="0.25">
      <c r="A59" s="17">
        <f t="shared" si="27"/>
        <v>36526.999994431659</v>
      </c>
      <c r="B59" s="18">
        <f t="shared" si="28"/>
        <v>44.514023996019418</v>
      </c>
      <c r="C59" s="18">
        <f t="shared" si="19"/>
        <v>44</v>
      </c>
      <c r="D59" s="29">
        <f t="shared" si="14"/>
        <v>106.78608409440066</v>
      </c>
      <c r="E59" s="29">
        <f t="shared" si="15"/>
        <v>107.72575967969959</v>
      </c>
      <c r="F59" s="4">
        <f t="shared" si="20"/>
        <v>-2</v>
      </c>
      <c r="G59" s="4">
        <f t="shared" si="29"/>
        <v>-1</v>
      </c>
      <c r="H59" s="31">
        <f t="shared" si="10"/>
        <v>-36000</v>
      </c>
      <c r="I59" s="31">
        <v>0</v>
      </c>
      <c r="J59" s="31">
        <f t="shared" si="16"/>
        <v>-11023.532085762297</v>
      </c>
      <c r="K59" s="31">
        <f t="shared" si="21"/>
        <v>24976.467914237703</v>
      </c>
      <c r="L59" s="31">
        <f t="shared" si="17"/>
        <v>-36000</v>
      </c>
      <c r="M59" s="31">
        <f t="shared" si="22"/>
        <v>-1146.384</v>
      </c>
      <c r="N59" s="31">
        <f t="shared" si="18"/>
        <v>-72000</v>
      </c>
      <c r="O59" s="28">
        <f t="shared" si="23"/>
        <v>-42.929405899259336</v>
      </c>
      <c r="P59" s="25"/>
      <c r="Q59" s="25"/>
      <c r="R59" s="25"/>
      <c r="S59" s="25"/>
      <c r="T59" s="4">
        <f t="shared" si="24"/>
        <v>74.5</v>
      </c>
      <c r="U59" s="18">
        <f t="shared" si="25"/>
        <v>0.7520738621485954</v>
      </c>
      <c r="V59" s="28">
        <f t="shared" si="30"/>
        <v>-19.231831717404113</v>
      </c>
      <c r="W59" s="28">
        <f t="shared" si="26"/>
        <v>-18.292156132105191</v>
      </c>
      <c r="Y59" s="13"/>
      <c r="Z59" s="13"/>
    </row>
    <row r="60" spans="1:26" x14ac:dyDescent="0.25">
      <c r="A60" s="17">
        <f t="shared" si="27"/>
        <v>36527.031330842583</v>
      </c>
      <c r="B60" s="18">
        <f t="shared" si="28"/>
        <v>43.009876271722227</v>
      </c>
      <c r="C60" s="18">
        <f t="shared" si="19"/>
        <v>44</v>
      </c>
      <c r="D60" s="29">
        <f t="shared" si="14"/>
        <v>-19.231831717404113</v>
      </c>
      <c r="E60" s="29">
        <f t="shared" si="15"/>
        <v>-18.292156132105191</v>
      </c>
      <c r="F60" s="4">
        <f t="shared" si="20"/>
        <v>0</v>
      </c>
      <c r="G60" s="4">
        <f t="shared" si="29"/>
        <v>1</v>
      </c>
      <c r="H60" s="31">
        <f t="shared" si="10"/>
        <v>36000</v>
      </c>
      <c r="I60" s="31">
        <v>0</v>
      </c>
      <c r="J60" s="31">
        <f t="shared" si="16"/>
        <v>60652.916999941008</v>
      </c>
      <c r="K60" s="31">
        <f t="shared" si="21"/>
        <v>24652.916999941008</v>
      </c>
      <c r="L60" s="31">
        <f t="shared" si="17"/>
        <v>36000</v>
      </c>
      <c r="M60" s="31">
        <f t="shared" si="22"/>
        <v>0</v>
      </c>
      <c r="N60" s="31">
        <f t="shared" si="18"/>
        <v>72000</v>
      </c>
      <c r="O60" s="28">
        <f t="shared" si="23"/>
        <v>54.601407541294805</v>
      </c>
      <c r="P60" s="25"/>
      <c r="Q60" s="25"/>
      <c r="R60" s="25"/>
      <c r="S60" s="25"/>
      <c r="T60" s="4">
        <f t="shared" si="24"/>
        <v>70.5</v>
      </c>
      <c r="U60" s="18">
        <f t="shared" si="25"/>
        <v>0.24805555555555556</v>
      </c>
      <c r="V60" s="28">
        <f t="shared" si="30"/>
        <v>105.81605639984683</v>
      </c>
      <c r="W60" s="28">
        <f t="shared" si="26"/>
        <v>105.81605639984684</v>
      </c>
      <c r="Y60" s="13"/>
      <c r="Z60" s="13"/>
    </row>
    <row r="61" spans="1:26" x14ac:dyDescent="0.25">
      <c r="A61" s="17">
        <f t="shared" si="27"/>
        <v>36527.041666490732</v>
      </c>
      <c r="B61" s="18">
        <f t="shared" si="28"/>
        <v>43.009876271722227</v>
      </c>
      <c r="C61" s="18">
        <f t="shared" si="19"/>
        <v>44</v>
      </c>
      <c r="D61" s="29">
        <f t="shared" si="14"/>
        <v>105.81605639984683</v>
      </c>
      <c r="E61" s="29">
        <f t="shared" si="15"/>
        <v>105.81605639984684</v>
      </c>
      <c r="F61" s="4">
        <f t="shared" si="20"/>
        <v>0</v>
      </c>
      <c r="G61" s="4">
        <f t="shared" si="29"/>
        <v>-1</v>
      </c>
      <c r="H61" s="31">
        <f t="shared" si="10"/>
        <v>-36000</v>
      </c>
      <c r="I61" s="31">
        <v>0</v>
      </c>
      <c r="J61" s="31">
        <f t="shared" si="16"/>
        <v>-11347.083000058992</v>
      </c>
      <c r="K61" s="31">
        <f t="shared" si="21"/>
        <v>24652.916999941008</v>
      </c>
      <c r="L61" s="31">
        <f t="shared" si="17"/>
        <v>-36000</v>
      </c>
      <c r="M61" s="31">
        <f t="shared" si="22"/>
        <v>0</v>
      </c>
      <c r="N61" s="31">
        <f t="shared" si="18"/>
        <v>-72000</v>
      </c>
      <c r="O61" s="28">
        <f t="shared" si="23"/>
        <v>-48.979591836734585</v>
      </c>
      <c r="P61" s="25"/>
      <c r="Q61" s="25"/>
      <c r="R61" s="25"/>
      <c r="S61" s="25"/>
      <c r="T61" s="4">
        <f t="shared" si="24"/>
        <v>74.5</v>
      </c>
      <c r="U61" s="18">
        <f t="shared" si="25"/>
        <v>0.6393694848302075</v>
      </c>
      <c r="V61" s="28">
        <f t="shared" si="30"/>
        <v>-19.796303856402378</v>
      </c>
      <c r="W61" s="28">
        <f t="shared" si="26"/>
        <v>-19.796303856402382</v>
      </c>
      <c r="Y61" s="13"/>
      <c r="Z61" s="13"/>
    </row>
    <row r="62" spans="1:26" x14ac:dyDescent="0.25">
      <c r="A62" s="17">
        <f t="shared" si="27"/>
        <v>36527.068306885936</v>
      </c>
      <c r="B62" s="18">
        <f t="shared" si="28"/>
        <v>43.009876271722227</v>
      </c>
      <c r="C62" s="18">
        <f t="shared" si="19"/>
        <v>44</v>
      </c>
      <c r="D62" s="29">
        <f t="shared" si="14"/>
        <v>-19.796303856402378</v>
      </c>
      <c r="E62" s="29">
        <f t="shared" si="15"/>
        <v>-19.796303856402382</v>
      </c>
      <c r="F62" s="4">
        <f t="shared" si="20"/>
        <v>0</v>
      </c>
      <c r="G62" s="4">
        <f t="shared" si="29"/>
        <v>1</v>
      </c>
      <c r="H62" s="31">
        <f t="shared" si="10"/>
        <v>36000</v>
      </c>
      <c r="I62" s="31">
        <v>0</v>
      </c>
      <c r="J62" s="31">
        <f t="shared" si="16"/>
        <v>60652.916999941008</v>
      </c>
      <c r="K62" s="31">
        <f t="shared" si="21"/>
        <v>24652.916999941008</v>
      </c>
      <c r="L62" s="31">
        <f t="shared" si="17"/>
        <v>36000</v>
      </c>
      <c r="M62" s="31">
        <f t="shared" si="22"/>
        <v>0</v>
      </c>
      <c r="N62" s="31">
        <f t="shared" si="18"/>
        <v>72000</v>
      </c>
      <c r="O62" s="28">
        <f t="shared" si="23"/>
        <v>48.979591836734699</v>
      </c>
      <c r="P62" s="25"/>
      <c r="Q62" s="25"/>
      <c r="R62" s="25"/>
      <c r="S62" s="25"/>
      <c r="T62" s="4">
        <f t="shared" si="24"/>
        <v>70.5</v>
      </c>
      <c r="U62" s="18">
        <f t="shared" si="25"/>
        <v>0.36055555555555557</v>
      </c>
      <c r="V62" s="28">
        <f t="shared" si="30"/>
        <v>105.81605639984683</v>
      </c>
      <c r="W62" s="28">
        <f t="shared" si="26"/>
        <v>105.81605639984684</v>
      </c>
      <c r="Y62" s="13"/>
      <c r="Z62" s="13"/>
    </row>
    <row r="63" spans="1:26" x14ac:dyDescent="0.25">
      <c r="A63" s="17">
        <f t="shared" si="27"/>
        <v>36527.083330034082</v>
      </c>
      <c r="B63" s="18">
        <f t="shared" si="28"/>
        <v>43.009876271722227</v>
      </c>
      <c r="C63" s="18">
        <f t="shared" si="19"/>
        <v>44</v>
      </c>
      <c r="D63" s="29">
        <f t="shared" si="14"/>
        <v>105.81605639984683</v>
      </c>
      <c r="E63" s="29">
        <f t="shared" si="15"/>
        <v>105.81605639984684</v>
      </c>
      <c r="F63" s="4">
        <f t="shared" si="20"/>
        <v>0</v>
      </c>
      <c r="G63" s="4">
        <f t="shared" si="29"/>
        <v>-1</v>
      </c>
      <c r="H63" s="31">
        <f t="shared" si="10"/>
        <v>-36000</v>
      </c>
      <c r="I63" s="31">
        <v>0</v>
      </c>
      <c r="J63" s="31">
        <f t="shared" si="16"/>
        <v>-11347.083000058992</v>
      </c>
      <c r="K63" s="31">
        <f t="shared" si="21"/>
        <v>24652.916999941008</v>
      </c>
      <c r="L63" s="31">
        <f t="shared" si="17"/>
        <v>-36000</v>
      </c>
      <c r="M63" s="31">
        <f t="shared" si="22"/>
        <v>0</v>
      </c>
      <c r="N63" s="31">
        <f t="shared" si="18"/>
        <v>-72000</v>
      </c>
      <c r="O63" s="28">
        <f t="shared" si="23"/>
        <v>-48.979591836734585</v>
      </c>
      <c r="P63" s="25"/>
      <c r="Q63" s="25"/>
      <c r="R63" s="25"/>
      <c r="S63" s="25"/>
      <c r="T63" s="4">
        <f t="shared" si="24"/>
        <v>74.5</v>
      </c>
      <c r="U63" s="18">
        <f t="shared" si="25"/>
        <v>0.6393694848302075</v>
      </c>
      <c r="V63" s="28">
        <f t="shared" si="30"/>
        <v>-19.796303856402378</v>
      </c>
      <c r="W63" s="28">
        <f t="shared" si="26"/>
        <v>-19.796303856402382</v>
      </c>
      <c r="Y63" s="13"/>
      <c r="Z63" s="13"/>
    </row>
    <row r="64" spans="1:26" x14ac:dyDescent="0.25">
      <c r="A64" s="17">
        <f t="shared" si="27"/>
        <v>36527.109970429286</v>
      </c>
      <c r="B64" s="18">
        <f t="shared" si="28"/>
        <v>43.009876271722227</v>
      </c>
      <c r="C64" s="18">
        <f t="shared" si="19"/>
        <v>44</v>
      </c>
      <c r="D64" s="29">
        <f t="shared" si="14"/>
        <v>-19.796303856402378</v>
      </c>
      <c r="E64" s="29">
        <f t="shared" si="15"/>
        <v>-19.796303856402382</v>
      </c>
      <c r="F64" s="4">
        <f t="shared" si="20"/>
        <v>0</v>
      </c>
      <c r="G64" s="4">
        <f t="shared" si="29"/>
        <v>1</v>
      </c>
      <c r="H64" s="31">
        <f t="shared" si="10"/>
        <v>36000</v>
      </c>
      <c r="I64" s="31">
        <v>0</v>
      </c>
      <c r="J64" s="31">
        <f t="shared" si="16"/>
        <v>60652.916999941008</v>
      </c>
      <c r="K64" s="31">
        <f t="shared" si="21"/>
        <v>24652.916999941008</v>
      </c>
      <c r="L64" s="31">
        <f t="shared" si="17"/>
        <v>36000</v>
      </c>
      <c r="M64" s="31">
        <f t="shared" si="22"/>
        <v>0</v>
      </c>
      <c r="N64" s="31">
        <f t="shared" si="18"/>
        <v>72000</v>
      </c>
      <c r="O64" s="28">
        <f t="shared" si="23"/>
        <v>48.979591836734699</v>
      </c>
      <c r="P64" s="25"/>
      <c r="Q64" s="25"/>
      <c r="R64" s="25"/>
      <c r="S64" s="25"/>
      <c r="T64" s="4">
        <f t="shared" si="24"/>
        <v>70.5</v>
      </c>
      <c r="U64" s="18">
        <f t="shared" si="25"/>
        <v>0.36083333333333334</v>
      </c>
      <c r="V64" s="28">
        <f t="shared" si="30"/>
        <v>105.81605639984683</v>
      </c>
      <c r="W64" s="28">
        <f t="shared" si="26"/>
        <v>105.81605639984684</v>
      </c>
      <c r="Y64" s="13"/>
      <c r="Z64" s="13"/>
    </row>
    <row r="65" spans="1:26" x14ac:dyDescent="0.25">
      <c r="A65" s="17">
        <f t="shared" si="27"/>
        <v>36527.125005151509</v>
      </c>
      <c r="B65" s="18">
        <f t="shared" si="28"/>
        <v>43.009876271722227</v>
      </c>
      <c r="C65" s="18">
        <f t="shared" si="19"/>
        <v>44</v>
      </c>
      <c r="D65" s="29">
        <f t="shared" si="14"/>
        <v>105.81605639984683</v>
      </c>
      <c r="E65" s="29">
        <f t="shared" si="15"/>
        <v>105.81605639984684</v>
      </c>
      <c r="F65" s="4">
        <f t="shared" si="20"/>
        <v>0</v>
      </c>
      <c r="G65" s="4">
        <f t="shared" si="29"/>
        <v>-1</v>
      </c>
      <c r="H65" s="31">
        <f t="shared" si="10"/>
        <v>-36000</v>
      </c>
      <c r="I65" s="31">
        <v>0</v>
      </c>
      <c r="J65" s="31">
        <f t="shared" si="16"/>
        <v>-11347.083000058992</v>
      </c>
      <c r="K65" s="31">
        <f t="shared" si="21"/>
        <v>24652.916999941008</v>
      </c>
      <c r="L65" s="31">
        <f t="shared" si="17"/>
        <v>-36000</v>
      </c>
      <c r="M65" s="31">
        <f t="shared" si="22"/>
        <v>0</v>
      </c>
      <c r="N65" s="31">
        <f t="shared" si="18"/>
        <v>-72000</v>
      </c>
      <c r="O65" s="28">
        <f t="shared" si="23"/>
        <v>-48.979591836734585</v>
      </c>
      <c r="P65" s="25"/>
      <c r="Q65" s="25"/>
      <c r="R65" s="25"/>
      <c r="S65" s="25"/>
      <c r="T65" s="4">
        <f t="shared" si="24"/>
        <v>74.5</v>
      </c>
      <c r="U65" s="18">
        <f t="shared" si="25"/>
        <v>0.6393694848302075</v>
      </c>
      <c r="V65" s="28">
        <f t="shared" si="30"/>
        <v>-19.796303856402378</v>
      </c>
      <c r="W65" s="28">
        <f t="shared" si="26"/>
        <v>-19.796303856402382</v>
      </c>
      <c r="Y65" s="13"/>
      <c r="Z65" s="13"/>
    </row>
    <row r="66" spans="1:26" x14ac:dyDescent="0.25">
      <c r="A66" s="17">
        <f t="shared" si="27"/>
        <v>36527.151645546714</v>
      </c>
      <c r="B66" s="18">
        <f t="shared" si="28"/>
        <v>43.009876271722227</v>
      </c>
      <c r="C66" s="18">
        <f t="shared" si="19"/>
        <v>44</v>
      </c>
      <c r="D66" s="29">
        <f t="shared" si="14"/>
        <v>-19.796303856402378</v>
      </c>
      <c r="E66" s="29">
        <f t="shared" si="15"/>
        <v>-19.796303856402382</v>
      </c>
      <c r="F66" s="4">
        <f t="shared" si="20"/>
        <v>0</v>
      </c>
      <c r="G66" s="4">
        <f t="shared" si="29"/>
        <v>1</v>
      </c>
      <c r="H66" s="31">
        <f t="shared" si="10"/>
        <v>36000</v>
      </c>
      <c r="I66" s="31">
        <v>0</v>
      </c>
      <c r="J66" s="31">
        <f t="shared" si="16"/>
        <v>60652.916999941008</v>
      </c>
      <c r="K66" s="31">
        <f t="shared" si="21"/>
        <v>24652.916999941008</v>
      </c>
      <c r="L66" s="31">
        <f t="shared" si="17"/>
        <v>36000</v>
      </c>
      <c r="M66" s="31">
        <f t="shared" si="22"/>
        <v>0</v>
      </c>
      <c r="N66" s="31">
        <f t="shared" si="18"/>
        <v>72000</v>
      </c>
      <c r="O66" s="28">
        <f t="shared" si="23"/>
        <v>48.979591836734699</v>
      </c>
      <c r="P66" s="25"/>
      <c r="Q66" s="25"/>
      <c r="R66" s="25"/>
      <c r="S66" s="25"/>
      <c r="T66" s="4">
        <f t="shared" si="24"/>
        <v>70.5</v>
      </c>
      <c r="U66" s="18">
        <f t="shared" si="25"/>
        <v>0.36055555555555557</v>
      </c>
      <c r="V66" s="28">
        <f t="shared" si="30"/>
        <v>105.81605639984683</v>
      </c>
      <c r="W66" s="28">
        <f t="shared" si="26"/>
        <v>105.81605639984684</v>
      </c>
      <c r="Y66" s="13"/>
      <c r="Z66" s="13"/>
    </row>
    <row r="67" spans="1:26" x14ac:dyDescent="0.25">
      <c r="A67" s="17">
        <f t="shared" si="27"/>
        <v>36527.166668694859</v>
      </c>
      <c r="B67" s="18">
        <f t="shared" si="28"/>
        <v>43.009876271722227</v>
      </c>
      <c r="C67" s="18">
        <f t="shared" si="19"/>
        <v>44</v>
      </c>
      <c r="D67" s="29">
        <f t="shared" si="14"/>
        <v>105.81605639984683</v>
      </c>
      <c r="E67" s="29">
        <f t="shared" si="15"/>
        <v>105.81605639984684</v>
      </c>
      <c r="F67" s="4">
        <f t="shared" si="20"/>
        <v>0</v>
      </c>
      <c r="G67" s="4">
        <f t="shared" si="29"/>
        <v>-1</v>
      </c>
      <c r="H67" s="31">
        <f t="shared" si="10"/>
        <v>-36000</v>
      </c>
      <c r="I67" s="31">
        <v>0</v>
      </c>
      <c r="J67" s="31">
        <f t="shared" si="16"/>
        <v>-11347.083000058992</v>
      </c>
      <c r="K67" s="31">
        <f t="shared" si="21"/>
        <v>24652.916999941008</v>
      </c>
      <c r="L67" s="31">
        <f t="shared" si="17"/>
        <v>-36000</v>
      </c>
      <c r="M67" s="31">
        <f t="shared" si="22"/>
        <v>0</v>
      </c>
      <c r="N67" s="31">
        <f t="shared" si="18"/>
        <v>-72000</v>
      </c>
      <c r="O67" s="28">
        <f t="shared" si="23"/>
        <v>-48.979591836734585</v>
      </c>
      <c r="P67" s="25"/>
      <c r="Q67" s="25"/>
      <c r="R67" s="25"/>
      <c r="S67" s="25"/>
      <c r="T67" s="4">
        <f t="shared" si="24"/>
        <v>74.5</v>
      </c>
      <c r="U67" s="18">
        <f t="shared" si="25"/>
        <v>0.6393694848302075</v>
      </c>
      <c r="V67" s="28">
        <f t="shared" si="30"/>
        <v>-19.796303856402378</v>
      </c>
      <c r="W67" s="28">
        <f t="shared" si="26"/>
        <v>-19.796303856402382</v>
      </c>
      <c r="Y67" s="13"/>
      <c r="Z67" s="13"/>
    </row>
    <row r="68" spans="1:26" x14ac:dyDescent="0.25">
      <c r="A68" s="17">
        <f t="shared" si="27"/>
        <v>36527.193309090064</v>
      </c>
      <c r="B68" s="18">
        <f t="shared" si="28"/>
        <v>43.009876271722227</v>
      </c>
      <c r="C68" s="18">
        <f t="shared" si="19"/>
        <v>44</v>
      </c>
      <c r="D68" s="29">
        <f t="shared" si="14"/>
        <v>-19.796303856402378</v>
      </c>
      <c r="E68" s="29">
        <f t="shared" si="15"/>
        <v>-19.796303856402382</v>
      </c>
      <c r="F68" s="4">
        <f t="shared" si="20"/>
        <v>0</v>
      </c>
      <c r="G68" s="4">
        <f t="shared" si="29"/>
        <v>1</v>
      </c>
      <c r="H68" s="31">
        <f t="shared" si="10"/>
        <v>36000</v>
      </c>
      <c r="I68" s="31">
        <v>0</v>
      </c>
      <c r="J68" s="31">
        <f t="shared" si="16"/>
        <v>60652.916999941008</v>
      </c>
      <c r="K68" s="31">
        <f t="shared" si="21"/>
        <v>24652.916999941008</v>
      </c>
      <c r="L68" s="31">
        <f t="shared" si="17"/>
        <v>36000</v>
      </c>
      <c r="M68" s="31">
        <f t="shared" si="22"/>
        <v>0</v>
      </c>
      <c r="N68" s="31">
        <f t="shared" si="18"/>
        <v>72000</v>
      </c>
      <c r="O68" s="28">
        <f t="shared" si="23"/>
        <v>48.979591836734699</v>
      </c>
      <c r="P68" s="25"/>
      <c r="Q68" s="25"/>
      <c r="R68" s="25"/>
      <c r="S68" s="25"/>
      <c r="T68" s="4">
        <f t="shared" si="24"/>
        <v>70.5</v>
      </c>
      <c r="U68" s="18">
        <f t="shared" si="25"/>
        <v>0.36055555555555557</v>
      </c>
      <c r="V68" s="28">
        <f t="shared" si="30"/>
        <v>105.81605639984683</v>
      </c>
      <c r="W68" s="28">
        <f t="shared" si="26"/>
        <v>105.81605639984684</v>
      </c>
      <c r="Y68" s="13"/>
      <c r="Z68" s="13"/>
    </row>
    <row r="69" spans="1:26" x14ac:dyDescent="0.25">
      <c r="A69" s="17">
        <f t="shared" si="27"/>
        <v>36527.20833223821</v>
      </c>
      <c r="B69" s="18">
        <f t="shared" si="28"/>
        <v>43.009876271722227</v>
      </c>
      <c r="C69" s="18">
        <f t="shared" si="19"/>
        <v>44</v>
      </c>
      <c r="D69" s="29">
        <f t="shared" si="14"/>
        <v>105.81605639984683</v>
      </c>
      <c r="E69" s="29">
        <f t="shared" si="15"/>
        <v>105.81605639984684</v>
      </c>
      <c r="F69" s="4">
        <f t="shared" si="20"/>
        <v>0</v>
      </c>
      <c r="G69" s="4">
        <f t="shared" si="29"/>
        <v>-1</v>
      </c>
      <c r="H69" s="31">
        <f t="shared" si="10"/>
        <v>-36000</v>
      </c>
      <c r="I69" s="31">
        <v>0</v>
      </c>
      <c r="J69" s="31">
        <f t="shared" si="16"/>
        <v>-11347.083000058992</v>
      </c>
      <c r="K69" s="31">
        <f t="shared" si="21"/>
        <v>24652.916999941008</v>
      </c>
      <c r="L69" s="31">
        <f t="shared" si="17"/>
        <v>-36000</v>
      </c>
      <c r="M69" s="31">
        <f t="shared" si="22"/>
        <v>0</v>
      </c>
      <c r="N69" s="31">
        <f t="shared" si="18"/>
        <v>-72000</v>
      </c>
      <c r="O69" s="28">
        <f t="shared" si="23"/>
        <v>-48.979591836734585</v>
      </c>
      <c r="P69" s="25"/>
      <c r="Q69" s="25"/>
      <c r="R69" s="25"/>
      <c r="S69" s="25"/>
      <c r="T69" s="4">
        <f t="shared" si="24"/>
        <v>74.5</v>
      </c>
      <c r="U69" s="18">
        <f t="shared" si="25"/>
        <v>0.6393694848302075</v>
      </c>
      <c r="V69" s="28">
        <f t="shared" si="30"/>
        <v>-19.796303856402378</v>
      </c>
      <c r="W69" s="28">
        <f t="shared" si="26"/>
        <v>-19.796303856402382</v>
      </c>
      <c r="Y69" s="13"/>
      <c r="Z69" s="13"/>
    </row>
    <row r="70" spans="1:26" x14ac:dyDescent="0.25">
      <c r="A70" s="17">
        <f t="shared" si="27"/>
        <v>36527.234972633414</v>
      </c>
      <c r="B70" s="18">
        <f t="shared" si="28"/>
        <v>43.009876271722227</v>
      </c>
      <c r="C70" s="18">
        <f t="shared" si="19"/>
        <v>44</v>
      </c>
      <c r="D70" s="29">
        <f t="shared" si="14"/>
        <v>-19.796303856402378</v>
      </c>
      <c r="E70" s="29">
        <f t="shared" si="15"/>
        <v>-19.796303856402382</v>
      </c>
      <c r="F70" s="4">
        <f t="shared" si="20"/>
        <v>0</v>
      </c>
      <c r="G70" s="4">
        <f t="shared" si="29"/>
        <v>1</v>
      </c>
      <c r="H70" s="31">
        <f t="shared" si="10"/>
        <v>36000</v>
      </c>
      <c r="I70" s="31">
        <v>0</v>
      </c>
      <c r="J70" s="31">
        <f t="shared" si="16"/>
        <v>60652.916999941008</v>
      </c>
      <c r="K70" s="31">
        <f t="shared" si="21"/>
        <v>24652.916999941008</v>
      </c>
      <c r="L70" s="31">
        <f t="shared" si="17"/>
        <v>36000</v>
      </c>
      <c r="M70" s="31">
        <f t="shared" si="22"/>
        <v>0</v>
      </c>
      <c r="N70" s="31">
        <f t="shared" si="18"/>
        <v>72000</v>
      </c>
      <c r="O70" s="28">
        <f t="shared" si="23"/>
        <v>48.979591836734699</v>
      </c>
      <c r="P70" s="25"/>
      <c r="Q70" s="25"/>
      <c r="R70" s="25"/>
      <c r="S70" s="25"/>
      <c r="T70" s="4">
        <f t="shared" si="24"/>
        <v>70.5</v>
      </c>
      <c r="U70" s="18">
        <f t="shared" si="25"/>
        <v>0.36055555555555557</v>
      </c>
      <c r="V70" s="28">
        <f t="shared" si="30"/>
        <v>105.81605639984683</v>
      </c>
      <c r="W70" s="28">
        <f t="shared" si="26"/>
        <v>105.81605639984684</v>
      </c>
      <c r="Y70" s="13"/>
      <c r="Z70" s="13"/>
    </row>
    <row r="71" spans="1:26" x14ac:dyDescent="0.25">
      <c r="A71" s="17">
        <f t="shared" si="27"/>
        <v>36527.24999578156</v>
      </c>
      <c r="B71" s="18">
        <f t="shared" si="28"/>
        <v>43.009876271722227</v>
      </c>
      <c r="C71" s="18">
        <f t="shared" si="19"/>
        <v>44</v>
      </c>
      <c r="D71" s="29">
        <f t="shared" si="14"/>
        <v>105.81605639984683</v>
      </c>
      <c r="E71" s="29">
        <f t="shared" si="15"/>
        <v>105.81605639984684</v>
      </c>
      <c r="F71" s="4">
        <f t="shared" si="20"/>
        <v>0</v>
      </c>
      <c r="G71" s="4">
        <f t="shared" si="29"/>
        <v>-1</v>
      </c>
      <c r="H71" s="31">
        <f t="shared" si="10"/>
        <v>-36000</v>
      </c>
      <c r="I71" s="31">
        <v>0</v>
      </c>
      <c r="J71" s="31">
        <f t="shared" si="16"/>
        <v>-11347.083000058992</v>
      </c>
      <c r="K71" s="31">
        <f t="shared" si="21"/>
        <v>24652.916999941008</v>
      </c>
      <c r="L71" s="31">
        <f t="shared" si="17"/>
        <v>-36000</v>
      </c>
      <c r="M71" s="31">
        <f t="shared" si="22"/>
        <v>0</v>
      </c>
      <c r="N71" s="31">
        <f t="shared" si="18"/>
        <v>-72000</v>
      </c>
      <c r="O71" s="28">
        <f t="shared" si="23"/>
        <v>-48.979591836734585</v>
      </c>
      <c r="P71" s="25"/>
      <c r="Q71" s="25"/>
      <c r="R71" s="25"/>
      <c r="S71" s="25"/>
      <c r="T71" s="4">
        <f t="shared" si="24"/>
        <v>74.5</v>
      </c>
      <c r="U71" s="18">
        <f t="shared" si="25"/>
        <v>0.6393694848302075</v>
      </c>
      <c r="V71" s="28">
        <f t="shared" si="30"/>
        <v>-19.796303856402378</v>
      </c>
      <c r="W71" s="28">
        <f t="shared" si="26"/>
        <v>-19.796303856402382</v>
      </c>
      <c r="Y71" s="13"/>
      <c r="Z71" s="13"/>
    </row>
    <row r="72" spans="1:26" x14ac:dyDescent="0.25">
      <c r="A72" s="17">
        <f t="shared" si="27"/>
        <v>36527.276636176764</v>
      </c>
      <c r="B72" s="18">
        <f t="shared" si="28"/>
        <v>43.009876271722227</v>
      </c>
      <c r="C72" s="18">
        <f t="shared" si="19"/>
        <v>44</v>
      </c>
      <c r="D72" s="29">
        <f t="shared" si="14"/>
        <v>-19.796303856402378</v>
      </c>
      <c r="E72" s="29">
        <f t="shared" si="15"/>
        <v>-19.796303856402382</v>
      </c>
      <c r="F72" s="4">
        <f t="shared" si="20"/>
        <v>0</v>
      </c>
      <c r="G72" s="4">
        <f t="shared" si="29"/>
        <v>1</v>
      </c>
      <c r="H72" s="31">
        <f t="shared" si="10"/>
        <v>36000</v>
      </c>
      <c r="I72" s="31">
        <v>0</v>
      </c>
      <c r="J72" s="31">
        <f t="shared" si="16"/>
        <v>60652.916999941008</v>
      </c>
      <c r="K72" s="31">
        <f t="shared" si="21"/>
        <v>24652.916999941008</v>
      </c>
      <c r="L72" s="31">
        <f t="shared" si="17"/>
        <v>36000</v>
      </c>
      <c r="M72" s="31">
        <f t="shared" si="22"/>
        <v>0</v>
      </c>
      <c r="N72" s="31">
        <f t="shared" si="18"/>
        <v>72000</v>
      </c>
      <c r="O72" s="28">
        <f t="shared" si="23"/>
        <v>48.979591836734699</v>
      </c>
      <c r="P72" s="25"/>
      <c r="Q72" s="25"/>
      <c r="R72" s="25"/>
      <c r="S72" s="25"/>
      <c r="T72" s="4">
        <f t="shared" si="24"/>
        <v>70.5</v>
      </c>
      <c r="U72" s="18">
        <f t="shared" si="25"/>
        <v>0.36083333333333334</v>
      </c>
      <c r="V72" s="28">
        <f t="shared" si="30"/>
        <v>105.81605639984683</v>
      </c>
      <c r="W72" s="28">
        <f t="shared" si="26"/>
        <v>105.81605639984684</v>
      </c>
      <c r="Y72" s="13"/>
      <c r="Z72" s="13"/>
    </row>
    <row r="73" spans="1:26" x14ac:dyDescent="0.25">
      <c r="A73" s="17">
        <f t="shared" si="27"/>
        <v>36527.291670898987</v>
      </c>
      <c r="B73" s="18">
        <f t="shared" si="28"/>
        <v>43.009876271722227</v>
      </c>
      <c r="C73" s="18">
        <f t="shared" si="19"/>
        <v>44</v>
      </c>
      <c r="D73" s="29">
        <f t="shared" si="14"/>
        <v>105.81605639984683</v>
      </c>
      <c r="E73" s="29">
        <f t="shared" si="15"/>
        <v>105.81605639984684</v>
      </c>
      <c r="F73" s="4">
        <f t="shared" si="20"/>
        <v>0</v>
      </c>
      <c r="G73" s="4">
        <f t="shared" si="29"/>
        <v>-1</v>
      </c>
      <c r="H73" s="31">
        <f t="shared" si="10"/>
        <v>-36000</v>
      </c>
      <c r="I73" s="31">
        <v>0</v>
      </c>
      <c r="J73" s="31">
        <f t="shared" si="16"/>
        <v>-11347.083000058992</v>
      </c>
      <c r="K73" s="31">
        <f t="shared" si="21"/>
        <v>24652.916999941008</v>
      </c>
      <c r="L73" s="31">
        <f t="shared" si="17"/>
        <v>-36000</v>
      </c>
      <c r="M73" s="31">
        <f t="shared" si="22"/>
        <v>0</v>
      </c>
      <c r="N73" s="31">
        <f t="shared" si="18"/>
        <v>-72000</v>
      </c>
      <c r="O73" s="28">
        <f t="shared" si="23"/>
        <v>-48.979591836734585</v>
      </c>
      <c r="P73" s="25"/>
      <c r="Q73" s="25"/>
      <c r="R73" s="25"/>
      <c r="S73" s="25"/>
      <c r="T73" s="4">
        <f t="shared" si="24"/>
        <v>74.5</v>
      </c>
      <c r="U73" s="18">
        <f t="shared" ref="U73" si="31">MIN((T73-D73)/O73,1-MINUTE(A73)/60-SECOND(A73)/3600)</f>
        <v>0.6393694848302075</v>
      </c>
      <c r="V73" s="28">
        <f t="shared" si="30"/>
        <v>-19.796303856402378</v>
      </c>
      <c r="W73" s="28">
        <f t="shared" si="26"/>
        <v>-19.796303856402382</v>
      </c>
      <c r="Y73" s="13"/>
      <c r="Z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sqref="A1:C27"/>
    </sheetView>
  </sheetViews>
  <sheetFormatPr defaultColWidth="11" defaultRowHeight="15.75" x14ac:dyDescent="0.25"/>
  <cols>
    <col min="1" max="1" width="11.875" style="1" bestFit="1" customWidth="1"/>
    <col min="2" max="3" width="10.875" style="1"/>
  </cols>
  <sheetData>
    <row r="1" spans="1:3" x14ac:dyDescent="0.25">
      <c r="A1" s="3" t="s">
        <v>1</v>
      </c>
      <c r="B1" s="3" t="s">
        <v>8</v>
      </c>
      <c r="C1" s="3" t="s">
        <v>9</v>
      </c>
    </row>
    <row r="2" spans="1:3" x14ac:dyDescent="0.25">
      <c r="A2" s="2">
        <v>36526</v>
      </c>
      <c r="B2" s="1">
        <v>50</v>
      </c>
      <c r="C2" s="1">
        <f>B3</f>
        <v>48</v>
      </c>
    </row>
    <row r="3" spans="1:3" x14ac:dyDescent="0.25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 x14ac:dyDescent="0.25">
      <c r="A4" s="2">
        <f t="shared" si="0"/>
        <v>36526.083333333328</v>
      </c>
      <c r="B4" s="1">
        <v>46</v>
      </c>
      <c r="C4" s="1">
        <f t="shared" si="1"/>
        <v>44</v>
      </c>
    </row>
    <row r="5" spans="1:3" x14ac:dyDescent="0.25">
      <c r="A5" s="2">
        <f t="shared" si="0"/>
        <v>36526.124999999993</v>
      </c>
      <c r="B5" s="1">
        <v>44</v>
      </c>
      <c r="C5" s="1">
        <f t="shared" si="1"/>
        <v>42</v>
      </c>
    </row>
    <row r="6" spans="1:3" x14ac:dyDescent="0.25">
      <c r="A6" s="2">
        <f t="shared" si="0"/>
        <v>36526.166666666657</v>
      </c>
      <c r="B6" s="1">
        <v>42</v>
      </c>
      <c r="C6" s="1">
        <f t="shared" si="1"/>
        <v>41</v>
      </c>
    </row>
    <row r="7" spans="1:3" x14ac:dyDescent="0.25">
      <c r="A7" s="2">
        <f t="shared" si="0"/>
        <v>36526.208333333321</v>
      </c>
      <c r="B7" s="1">
        <v>41</v>
      </c>
      <c r="C7" s="1">
        <f t="shared" si="1"/>
        <v>40</v>
      </c>
    </row>
    <row r="8" spans="1:3" x14ac:dyDescent="0.25">
      <c r="A8" s="2">
        <f t="shared" si="0"/>
        <v>36526.249999999985</v>
      </c>
      <c r="B8" s="1">
        <v>40</v>
      </c>
      <c r="C8" s="1">
        <f t="shared" si="1"/>
        <v>40</v>
      </c>
    </row>
    <row r="9" spans="1:3" x14ac:dyDescent="0.25">
      <c r="A9" s="2">
        <f t="shared" si="0"/>
        <v>36526.29166666665</v>
      </c>
      <c r="B9" s="1">
        <v>40</v>
      </c>
      <c r="C9" s="1">
        <f t="shared" si="1"/>
        <v>42</v>
      </c>
    </row>
    <row r="10" spans="1:3" x14ac:dyDescent="0.25">
      <c r="A10" s="2">
        <f t="shared" si="0"/>
        <v>36526.333333333314</v>
      </c>
      <c r="B10" s="1">
        <v>42</v>
      </c>
      <c r="C10" s="1">
        <f t="shared" si="1"/>
        <v>45</v>
      </c>
    </row>
    <row r="11" spans="1:3" x14ac:dyDescent="0.25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 x14ac:dyDescent="0.25">
      <c r="A12" s="2">
        <f t="shared" si="2"/>
        <v>36526.416666666642</v>
      </c>
      <c r="B12" s="1">
        <v>48</v>
      </c>
      <c r="C12" s="1">
        <f t="shared" si="1"/>
        <v>50</v>
      </c>
    </row>
    <row r="13" spans="1:3" x14ac:dyDescent="0.25">
      <c r="A13" s="2">
        <f t="shared" si="2"/>
        <v>36526.458333333307</v>
      </c>
      <c r="B13" s="1">
        <v>50</v>
      </c>
      <c r="C13" s="1">
        <f t="shared" si="1"/>
        <v>52</v>
      </c>
    </row>
    <row r="14" spans="1:3" x14ac:dyDescent="0.25">
      <c r="A14" s="2">
        <f t="shared" si="2"/>
        <v>36526.499999999971</v>
      </c>
      <c r="B14" s="1">
        <v>52</v>
      </c>
      <c r="C14" s="1">
        <f t="shared" si="1"/>
        <v>53</v>
      </c>
    </row>
    <row r="15" spans="1:3" x14ac:dyDescent="0.25">
      <c r="A15" s="2">
        <f t="shared" si="2"/>
        <v>36526.541666666635</v>
      </c>
      <c r="B15" s="1">
        <v>53</v>
      </c>
      <c r="C15" s="1">
        <f t="shared" si="1"/>
        <v>55</v>
      </c>
    </row>
    <row r="16" spans="1:3" x14ac:dyDescent="0.25">
      <c r="A16" s="2">
        <f t="shared" si="2"/>
        <v>36526.583333333299</v>
      </c>
      <c r="B16" s="1">
        <v>55</v>
      </c>
      <c r="C16" s="1">
        <f t="shared" si="1"/>
        <v>56</v>
      </c>
    </row>
    <row r="17" spans="1:3" x14ac:dyDescent="0.25">
      <c r="A17" s="2">
        <f t="shared" si="2"/>
        <v>36526.624999999964</v>
      </c>
      <c r="B17" s="1">
        <v>56</v>
      </c>
      <c r="C17" s="1">
        <f t="shared" si="1"/>
        <v>55</v>
      </c>
    </row>
    <row r="18" spans="1:3" x14ac:dyDescent="0.25">
      <c r="A18" s="2">
        <f t="shared" si="2"/>
        <v>36526.666666666628</v>
      </c>
      <c r="B18" s="1">
        <v>55</v>
      </c>
      <c r="C18" s="1">
        <f t="shared" si="1"/>
        <v>53</v>
      </c>
    </row>
    <row r="19" spans="1:3" x14ac:dyDescent="0.25">
      <c r="A19" s="2">
        <f t="shared" si="2"/>
        <v>36526.708333333292</v>
      </c>
      <c r="B19" s="1">
        <v>53</v>
      </c>
      <c r="C19" s="1">
        <f t="shared" si="1"/>
        <v>52</v>
      </c>
    </row>
    <row r="20" spans="1:3" x14ac:dyDescent="0.25">
      <c r="A20" s="2">
        <f t="shared" si="2"/>
        <v>36526.749999999956</v>
      </c>
      <c r="B20" s="1">
        <v>52</v>
      </c>
      <c r="C20" s="1">
        <f t="shared" si="1"/>
        <v>51</v>
      </c>
    </row>
    <row r="21" spans="1:3" x14ac:dyDescent="0.25">
      <c r="A21" s="2">
        <f t="shared" si="2"/>
        <v>36526.791666666621</v>
      </c>
      <c r="B21" s="1">
        <v>51</v>
      </c>
      <c r="C21" s="1">
        <f t="shared" si="1"/>
        <v>51</v>
      </c>
    </row>
    <row r="22" spans="1:3" x14ac:dyDescent="0.25">
      <c r="A22" s="2">
        <f t="shared" si="2"/>
        <v>36526.833333333285</v>
      </c>
      <c r="B22" s="1">
        <v>51</v>
      </c>
      <c r="C22" s="1">
        <f t="shared" si="1"/>
        <v>50</v>
      </c>
    </row>
    <row r="23" spans="1:3" x14ac:dyDescent="0.25">
      <c r="A23" s="2">
        <f>A22+1/24</f>
        <v>36526.874999999949</v>
      </c>
      <c r="B23" s="1">
        <v>50</v>
      </c>
      <c r="C23" s="1">
        <f t="shared" si="1"/>
        <v>48</v>
      </c>
    </row>
    <row r="24" spans="1:3" x14ac:dyDescent="0.25">
      <c r="A24" s="2">
        <f>A23+1/24</f>
        <v>36526.916666666613</v>
      </c>
      <c r="B24" s="1">
        <v>48</v>
      </c>
      <c r="C24" s="1">
        <f t="shared" si="1"/>
        <v>46</v>
      </c>
    </row>
    <row r="25" spans="1:3" x14ac:dyDescent="0.25">
      <c r="A25" s="2">
        <f>A24+1/24</f>
        <v>36526.958333333278</v>
      </c>
      <c r="B25" s="1">
        <v>46</v>
      </c>
      <c r="C25" s="1">
        <f t="shared" si="1"/>
        <v>44</v>
      </c>
    </row>
    <row r="26" spans="1:3" x14ac:dyDescent="0.25">
      <c r="A26" s="2">
        <f>A25+1/24</f>
        <v>36526.999999999942</v>
      </c>
      <c r="B26" s="1">
        <v>44</v>
      </c>
      <c r="C26" s="1">
        <f t="shared" si="1"/>
        <v>44</v>
      </c>
    </row>
    <row r="27" spans="1:3" x14ac:dyDescent="0.25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House</vt:lpstr>
      <vt:lpstr>Weather</vt:lpstr>
      <vt:lpstr>_c</vt:lpstr>
      <vt:lpstr>a</vt:lpstr>
      <vt:lpstr>b</vt:lpstr>
      <vt:lpstr>b2_4ac</vt:lpstr>
      <vt:lpstr>c_</vt:lpstr>
      <vt:lpstr>CA</vt:lpstr>
      <vt:lpstr>CM</vt:lpstr>
      <vt:lpstr>DB</vt:lpstr>
      <vt:lpstr>HM</vt:lpstr>
      <vt:lpstr>p</vt:lpstr>
      <vt:lpstr>q</vt:lpstr>
      <vt:lpstr>QH</vt:lpstr>
      <vt:lpstr>rb_2_4ac</vt:lpstr>
      <vt:lpstr>rb2_4ac</vt:lpstr>
      <vt:lpstr>TC</vt:lpstr>
      <vt:lpstr>TH</vt:lpstr>
      <vt:lpstr>UA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P. Chassin</cp:lastModifiedBy>
  <dcterms:created xsi:type="dcterms:W3CDTF">2013-10-22T20:08:19Z</dcterms:created>
  <dcterms:modified xsi:type="dcterms:W3CDTF">2014-03-14T23:46:24Z</dcterms:modified>
</cp:coreProperties>
</file>