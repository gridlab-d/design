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913"/>
  <workbookPr showInkAnnotation="0" autoCompressPictures="0"/>
  <bookViews>
    <workbookView xWindow="0" yWindow="0" windowWidth="51200" windowHeight="28280" tabRatio="500"/>
  </bookViews>
  <sheets>
    <sheet name="House" sheetId="1" r:id="rId1"/>
    <sheet name="Weather" sheetId="2" r:id="rId2"/>
  </sheets>
  <definedNames>
    <definedName name="_c">House!$P$3</definedName>
    <definedName name="a">House!$N$3</definedName>
    <definedName name="b">House!$O$3</definedName>
    <definedName name="b2_4ac">House!$R$3</definedName>
    <definedName name="c_">House!$P$3</definedName>
    <definedName name="CA">House!$F$3</definedName>
    <definedName name="CM">House!$G$3</definedName>
    <definedName name="DB">House!$L$3</definedName>
    <definedName name="HM">House!$E$3</definedName>
    <definedName name="p">House!$R$1</definedName>
    <definedName name="q">House!$R$2</definedName>
    <definedName name="QH">House!$I$3</definedName>
    <definedName name="rb_2_4ac">House!$R$3</definedName>
    <definedName name="rb2_4ac">House!$R$3</definedName>
    <definedName name="TC">House!$J$3</definedName>
    <definedName name="TH">House!$K$3</definedName>
    <definedName name="UA">House!$D$3</definedName>
    <definedName name="weather">Weather!$A$1:$C$27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9" i="1" l="1"/>
  <c r="P9" i="1"/>
  <c r="V9" i="1"/>
  <c r="D10" i="1"/>
  <c r="G10" i="1"/>
  <c r="T10" i="1"/>
  <c r="H10" i="1"/>
  <c r="W9" i="1"/>
  <c r="E10" i="1"/>
  <c r="O10" i="1"/>
  <c r="U10" i="1"/>
  <c r="L10" i="1"/>
  <c r="J10" i="1"/>
  <c r="V10" i="1"/>
  <c r="D11" i="1"/>
  <c r="G11" i="1"/>
  <c r="T11" i="1"/>
  <c r="W10" i="1"/>
  <c r="E11" i="1"/>
  <c r="H11" i="1"/>
  <c r="B11" i="1"/>
  <c r="O11" i="1"/>
  <c r="A11" i="1"/>
  <c r="U11" i="1"/>
  <c r="C11" i="1"/>
  <c r="F11" i="1"/>
  <c r="B12" i="1"/>
  <c r="L11" i="1"/>
  <c r="M11" i="1"/>
  <c r="K11" i="1"/>
  <c r="J11" i="1"/>
  <c r="N11" i="1"/>
  <c r="V11" i="1"/>
  <c r="D12" i="1"/>
  <c r="G12" i="1"/>
  <c r="T12" i="1"/>
  <c r="W11" i="1"/>
  <c r="E12" i="1"/>
  <c r="H12" i="1"/>
  <c r="O12" i="1"/>
  <c r="A12" i="1"/>
  <c r="U12" i="1"/>
  <c r="C12" i="1"/>
  <c r="F12" i="1"/>
  <c r="B13" i="1"/>
  <c r="M12" i="1"/>
  <c r="K12" i="1"/>
  <c r="L12" i="1"/>
  <c r="J12" i="1"/>
  <c r="N12" i="1"/>
  <c r="V12" i="1"/>
  <c r="D13" i="1"/>
  <c r="G13" i="1"/>
  <c r="T13" i="1"/>
  <c r="W12" i="1"/>
  <c r="E13" i="1"/>
  <c r="H13" i="1"/>
  <c r="O13" i="1"/>
  <c r="A13" i="1"/>
  <c r="U13" i="1"/>
  <c r="C13" i="1"/>
  <c r="F13" i="1"/>
  <c r="B14" i="1"/>
  <c r="M13" i="1"/>
  <c r="K13" i="1"/>
  <c r="L13" i="1"/>
  <c r="J13" i="1"/>
  <c r="N13" i="1"/>
  <c r="V13" i="1"/>
  <c r="D14" i="1"/>
  <c r="G14" i="1"/>
  <c r="T14" i="1"/>
  <c r="W13" i="1"/>
  <c r="E14" i="1"/>
  <c r="H14" i="1"/>
  <c r="O14" i="1"/>
  <c r="A14" i="1"/>
  <c r="U14" i="1"/>
  <c r="C14" i="1"/>
  <c r="F14" i="1"/>
  <c r="B15" i="1"/>
  <c r="M14" i="1"/>
  <c r="K14" i="1"/>
  <c r="L14" i="1"/>
  <c r="J14" i="1"/>
  <c r="N14" i="1"/>
  <c r="V14" i="1"/>
  <c r="D15" i="1"/>
  <c r="G15" i="1"/>
  <c r="T15" i="1"/>
  <c r="W14" i="1"/>
  <c r="E15" i="1"/>
  <c r="H15" i="1"/>
  <c r="O15" i="1"/>
  <c r="A15" i="1"/>
  <c r="U15" i="1"/>
  <c r="C15" i="1"/>
  <c r="F15" i="1"/>
  <c r="B16" i="1"/>
  <c r="M15" i="1"/>
  <c r="K15" i="1"/>
  <c r="L15" i="1"/>
  <c r="J15" i="1"/>
  <c r="N15" i="1"/>
  <c r="V15" i="1"/>
  <c r="D16" i="1"/>
  <c r="G16" i="1"/>
  <c r="T16" i="1"/>
  <c r="W15" i="1"/>
  <c r="E16" i="1"/>
  <c r="H16" i="1"/>
  <c r="O16" i="1"/>
  <c r="A16" i="1"/>
  <c r="U16" i="1"/>
  <c r="C16" i="1"/>
  <c r="F16" i="1"/>
  <c r="B17" i="1"/>
  <c r="M16" i="1"/>
  <c r="K16" i="1"/>
  <c r="L16" i="1"/>
  <c r="J16" i="1"/>
  <c r="N16" i="1"/>
  <c r="V16" i="1"/>
  <c r="D17" i="1"/>
  <c r="G17" i="1"/>
  <c r="T17" i="1"/>
  <c r="W16" i="1"/>
  <c r="E17" i="1"/>
  <c r="H17" i="1"/>
  <c r="O17" i="1"/>
  <c r="A17" i="1"/>
  <c r="U17" i="1"/>
  <c r="C17" i="1"/>
  <c r="F17" i="1"/>
  <c r="B18" i="1"/>
  <c r="M17" i="1"/>
  <c r="K17" i="1"/>
  <c r="L17" i="1"/>
  <c r="J17" i="1"/>
  <c r="N17" i="1"/>
  <c r="V17" i="1"/>
  <c r="D18" i="1"/>
  <c r="G18" i="1"/>
  <c r="T18" i="1"/>
  <c r="W17" i="1"/>
  <c r="E18" i="1"/>
  <c r="H18" i="1"/>
  <c r="O18" i="1"/>
  <c r="A18" i="1"/>
  <c r="U18" i="1"/>
  <c r="C18" i="1"/>
  <c r="F18" i="1"/>
  <c r="B19" i="1"/>
  <c r="M18" i="1"/>
  <c r="K18" i="1"/>
  <c r="L18" i="1"/>
  <c r="J18" i="1"/>
  <c r="N18" i="1"/>
  <c r="V18" i="1"/>
  <c r="D19" i="1"/>
  <c r="G19" i="1"/>
  <c r="T19" i="1"/>
  <c r="W18" i="1"/>
  <c r="E19" i="1"/>
  <c r="H19" i="1"/>
  <c r="O19" i="1"/>
  <c r="A19" i="1"/>
  <c r="U19" i="1"/>
  <c r="C19" i="1"/>
  <c r="F19" i="1"/>
  <c r="B20" i="1"/>
  <c r="M19" i="1"/>
  <c r="K19" i="1"/>
  <c r="L19" i="1"/>
  <c r="J19" i="1"/>
  <c r="N19" i="1"/>
  <c r="V19" i="1"/>
  <c r="D20" i="1"/>
  <c r="G20" i="1"/>
  <c r="T20" i="1"/>
  <c r="W19" i="1"/>
  <c r="E20" i="1"/>
  <c r="H20" i="1"/>
  <c r="O20" i="1"/>
  <c r="A20" i="1"/>
  <c r="U20" i="1"/>
  <c r="C20" i="1"/>
  <c r="F20" i="1"/>
  <c r="B21" i="1"/>
  <c r="A21" i="1"/>
  <c r="C21" i="1"/>
  <c r="M21" i="1"/>
  <c r="K21" i="1"/>
  <c r="M20" i="1"/>
  <c r="K20" i="1"/>
  <c r="L20" i="1"/>
  <c r="J20" i="1"/>
  <c r="N20" i="1"/>
  <c r="V20" i="1"/>
  <c r="D21" i="1"/>
  <c r="G21" i="1"/>
  <c r="H21" i="1"/>
  <c r="L21" i="1"/>
  <c r="J21" i="1"/>
  <c r="N21" i="1"/>
  <c r="T21" i="1"/>
  <c r="W20" i="1"/>
  <c r="E21" i="1"/>
  <c r="O21" i="1"/>
  <c r="U21" i="1"/>
  <c r="V21" i="1"/>
  <c r="D22" i="1"/>
  <c r="F21" i="1"/>
  <c r="B22" i="1"/>
  <c r="A22" i="1"/>
  <c r="C22" i="1"/>
  <c r="M22" i="1"/>
  <c r="K22" i="1"/>
  <c r="G22" i="1"/>
  <c r="H22" i="1"/>
  <c r="L22" i="1"/>
  <c r="J22" i="1"/>
  <c r="W21" i="1"/>
  <c r="E22" i="1"/>
  <c r="O22" i="1"/>
  <c r="N22" i="1"/>
  <c r="K9" i="1"/>
  <c r="K10" i="1"/>
  <c r="J9" i="1"/>
  <c r="T22" i="1"/>
  <c r="U22" i="1"/>
  <c r="F22" i="1"/>
  <c r="B23" i="1"/>
  <c r="A23" i="1"/>
  <c r="C23" i="1"/>
  <c r="M23" i="1"/>
  <c r="K23" i="1"/>
  <c r="V22" i="1"/>
  <c r="D23" i="1"/>
  <c r="G23" i="1"/>
  <c r="T23" i="1"/>
  <c r="W22" i="1"/>
  <c r="E23" i="1"/>
  <c r="H23" i="1"/>
  <c r="O23" i="1"/>
  <c r="U23" i="1"/>
  <c r="F23" i="1"/>
  <c r="B24" i="1"/>
  <c r="A24" i="1"/>
  <c r="C24" i="1"/>
  <c r="M24" i="1"/>
  <c r="K24" i="1"/>
  <c r="L23" i="1"/>
  <c r="J23" i="1"/>
  <c r="V23" i="1"/>
  <c r="D24" i="1"/>
  <c r="G24" i="1"/>
  <c r="T24" i="1"/>
  <c r="W23" i="1"/>
  <c r="E24" i="1"/>
  <c r="H24" i="1"/>
  <c r="O24" i="1"/>
  <c r="U24" i="1"/>
  <c r="F24" i="1"/>
  <c r="B25" i="1"/>
  <c r="A25" i="1"/>
  <c r="C25" i="1"/>
  <c r="M25" i="1"/>
  <c r="K25" i="1"/>
  <c r="L24" i="1"/>
  <c r="J24" i="1"/>
  <c r="V24" i="1"/>
  <c r="D25" i="1"/>
  <c r="G25" i="1"/>
  <c r="T25" i="1"/>
  <c r="W24" i="1"/>
  <c r="E25" i="1"/>
  <c r="H25" i="1"/>
  <c r="O25" i="1"/>
  <c r="U25" i="1"/>
  <c r="F25" i="1"/>
  <c r="B26" i="1"/>
  <c r="A26" i="1"/>
  <c r="C26" i="1"/>
  <c r="M26" i="1"/>
  <c r="K26" i="1"/>
  <c r="L25" i="1"/>
  <c r="J25" i="1"/>
  <c r="V25" i="1"/>
  <c r="D26" i="1"/>
  <c r="G26" i="1"/>
  <c r="T26" i="1"/>
  <c r="W25" i="1"/>
  <c r="E26" i="1"/>
  <c r="H26" i="1"/>
  <c r="O26" i="1"/>
  <c r="U26" i="1"/>
  <c r="F26" i="1"/>
  <c r="B27" i="1"/>
  <c r="A27" i="1"/>
  <c r="C27" i="1"/>
  <c r="M27" i="1"/>
  <c r="K27" i="1"/>
  <c r="L26" i="1"/>
  <c r="J26" i="1"/>
  <c r="V26" i="1"/>
  <c r="D27" i="1"/>
  <c r="G27" i="1"/>
  <c r="T27" i="1"/>
  <c r="W26" i="1"/>
  <c r="E27" i="1"/>
  <c r="H27" i="1"/>
  <c r="O27" i="1"/>
  <c r="U27" i="1"/>
  <c r="F27" i="1"/>
  <c r="B28" i="1"/>
  <c r="A28" i="1"/>
  <c r="C28" i="1"/>
  <c r="M28" i="1"/>
  <c r="K28" i="1"/>
  <c r="L27" i="1"/>
  <c r="J27" i="1"/>
  <c r="V27" i="1"/>
  <c r="D28" i="1"/>
  <c r="G28" i="1"/>
  <c r="T28" i="1"/>
  <c r="W27" i="1"/>
  <c r="E28" i="1"/>
  <c r="H28" i="1"/>
  <c r="O28" i="1"/>
  <c r="U28" i="1"/>
  <c r="F28" i="1"/>
  <c r="B29" i="1"/>
  <c r="A29" i="1"/>
  <c r="C29" i="1"/>
  <c r="M29" i="1"/>
  <c r="K29" i="1"/>
  <c r="L28" i="1"/>
  <c r="J28" i="1"/>
  <c r="V28" i="1"/>
  <c r="D29" i="1"/>
  <c r="G29" i="1"/>
  <c r="T29" i="1"/>
  <c r="W28" i="1"/>
  <c r="E29" i="1"/>
  <c r="H29" i="1"/>
  <c r="O29" i="1"/>
  <c r="U29" i="1"/>
  <c r="F29" i="1"/>
  <c r="B30" i="1"/>
  <c r="A30" i="1"/>
  <c r="C30" i="1"/>
  <c r="M30" i="1"/>
  <c r="K30" i="1"/>
  <c r="L29" i="1"/>
  <c r="J29" i="1"/>
  <c r="V29" i="1"/>
  <c r="D30" i="1"/>
  <c r="G30" i="1"/>
  <c r="T30" i="1"/>
  <c r="W29" i="1"/>
  <c r="E30" i="1"/>
  <c r="H30" i="1"/>
  <c r="O30" i="1"/>
  <c r="U30" i="1"/>
  <c r="F30" i="1"/>
  <c r="B31" i="1"/>
  <c r="A31" i="1"/>
  <c r="C31" i="1"/>
  <c r="M31" i="1"/>
  <c r="K31" i="1"/>
  <c r="L30" i="1"/>
  <c r="J30" i="1"/>
  <c r="V30" i="1"/>
  <c r="D31" i="1"/>
  <c r="G31" i="1"/>
  <c r="T31" i="1"/>
  <c r="W30" i="1"/>
  <c r="E31" i="1"/>
  <c r="H31" i="1"/>
  <c r="O31" i="1"/>
  <c r="U31" i="1"/>
  <c r="F31" i="1"/>
  <c r="B32" i="1"/>
  <c r="A32" i="1"/>
  <c r="C32" i="1"/>
  <c r="M32" i="1"/>
  <c r="K32" i="1"/>
  <c r="L31" i="1"/>
  <c r="J31" i="1"/>
  <c r="V31" i="1"/>
  <c r="D32" i="1"/>
  <c r="G32" i="1"/>
  <c r="T32" i="1"/>
  <c r="W31" i="1"/>
  <c r="E32" i="1"/>
  <c r="H32" i="1"/>
  <c r="O32" i="1"/>
  <c r="U32" i="1"/>
  <c r="F32" i="1"/>
  <c r="B33" i="1"/>
  <c r="A33" i="1"/>
  <c r="C33" i="1"/>
  <c r="M33" i="1"/>
  <c r="K33" i="1"/>
  <c r="L32" i="1"/>
  <c r="J32" i="1"/>
  <c r="V32" i="1"/>
  <c r="D33" i="1"/>
  <c r="G33" i="1"/>
  <c r="T33" i="1"/>
  <c r="W32" i="1"/>
  <c r="E33" i="1"/>
  <c r="H33" i="1"/>
  <c r="O33" i="1"/>
  <c r="U33" i="1"/>
  <c r="F33" i="1"/>
  <c r="B34" i="1"/>
  <c r="A34" i="1"/>
  <c r="C34" i="1"/>
  <c r="M34" i="1"/>
  <c r="K34" i="1"/>
  <c r="L33" i="1"/>
  <c r="J33" i="1"/>
  <c r="V33" i="1"/>
  <c r="D34" i="1"/>
  <c r="G34" i="1"/>
  <c r="T34" i="1"/>
  <c r="W33" i="1"/>
  <c r="E34" i="1"/>
  <c r="H34" i="1"/>
  <c r="O34" i="1"/>
  <c r="U34" i="1"/>
  <c r="F34" i="1"/>
  <c r="B35" i="1"/>
  <c r="A35" i="1"/>
  <c r="C35" i="1"/>
  <c r="M35" i="1"/>
  <c r="K35" i="1"/>
  <c r="L34" i="1"/>
  <c r="J34" i="1"/>
  <c r="V34" i="1"/>
  <c r="D35" i="1"/>
  <c r="G35" i="1"/>
  <c r="T35" i="1"/>
  <c r="W34" i="1"/>
  <c r="E35" i="1"/>
  <c r="H35" i="1"/>
  <c r="O35" i="1"/>
  <c r="U35" i="1"/>
  <c r="F35" i="1"/>
  <c r="B36" i="1"/>
  <c r="A36" i="1"/>
  <c r="C36" i="1"/>
  <c r="M36" i="1"/>
  <c r="K36" i="1"/>
  <c r="L35" i="1"/>
  <c r="J35" i="1"/>
  <c r="V35" i="1"/>
  <c r="D36" i="1"/>
  <c r="G36" i="1"/>
  <c r="T36" i="1"/>
  <c r="W35" i="1"/>
  <c r="E36" i="1"/>
  <c r="H36" i="1"/>
  <c r="O36" i="1"/>
  <c r="U36" i="1"/>
  <c r="F36" i="1"/>
  <c r="B37" i="1"/>
  <c r="A37" i="1"/>
  <c r="C37" i="1"/>
  <c r="M37" i="1"/>
  <c r="K37" i="1"/>
  <c r="L36" i="1"/>
  <c r="J36" i="1"/>
  <c r="V36" i="1"/>
  <c r="D37" i="1"/>
  <c r="G37" i="1"/>
  <c r="T37" i="1"/>
  <c r="W36" i="1"/>
  <c r="E37" i="1"/>
  <c r="H37" i="1"/>
  <c r="O37" i="1"/>
  <c r="U37" i="1"/>
  <c r="F37" i="1"/>
  <c r="B38" i="1"/>
  <c r="A38" i="1"/>
  <c r="C38" i="1"/>
  <c r="M38" i="1"/>
  <c r="K38" i="1"/>
  <c r="L37" i="1"/>
  <c r="J37" i="1"/>
  <c r="V37" i="1"/>
  <c r="D38" i="1"/>
  <c r="G38" i="1"/>
  <c r="T38" i="1"/>
  <c r="W37" i="1"/>
  <c r="E38" i="1"/>
  <c r="H38" i="1"/>
  <c r="O38" i="1"/>
  <c r="U38" i="1"/>
  <c r="F38" i="1"/>
  <c r="B39" i="1"/>
  <c r="A39" i="1"/>
  <c r="C39" i="1"/>
  <c r="M39" i="1"/>
  <c r="K39" i="1"/>
  <c r="L38" i="1"/>
  <c r="J38" i="1"/>
  <c r="V38" i="1"/>
  <c r="D39" i="1"/>
  <c r="G39" i="1"/>
  <c r="T39" i="1"/>
  <c r="W38" i="1"/>
  <c r="E39" i="1"/>
  <c r="H39" i="1"/>
  <c r="O39" i="1"/>
  <c r="U39" i="1"/>
  <c r="F39" i="1"/>
  <c r="B40" i="1"/>
  <c r="A40" i="1"/>
  <c r="C40" i="1"/>
  <c r="M40" i="1"/>
  <c r="K40" i="1"/>
  <c r="L39" i="1"/>
  <c r="J39" i="1"/>
  <c r="V39" i="1"/>
  <c r="D40" i="1"/>
  <c r="G40" i="1"/>
  <c r="T40" i="1"/>
  <c r="W39" i="1"/>
  <c r="E40" i="1"/>
  <c r="H40" i="1"/>
  <c r="O40" i="1"/>
  <c r="U40" i="1"/>
  <c r="F40" i="1"/>
  <c r="B41" i="1"/>
  <c r="A41" i="1"/>
  <c r="C41" i="1"/>
  <c r="M41" i="1"/>
  <c r="K41" i="1"/>
  <c r="L40" i="1"/>
  <c r="J40" i="1"/>
  <c r="V40" i="1"/>
  <c r="D41" i="1"/>
  <c r="G41" i="1"/>
  <c r="T41" i="1"/>
  <c r="W40" i="1"/>
  <c r="E41" i="1"/>
  <c r="H41" i="1"/>
  <c r="O41" i="1"/>
  <c r="U41" i="1"/>
  <c r="F41" i="1"/>
  <c r="B42" i="1"/>
  <c r="A42" i="1"/>
  <c r="C42" i="1"/>
  <c r="M42" i="1"/>
  <c r="K42" i="1"/>
  <c r="L41" i="1"/>
  <c r="J41" i="1"/>
  <c r="V41" i="1"/>
  <c r="D42" i="1"/>
  <c r="G42" i="1"/>
  <c r="T42" i="1"/>
  <c r="W41" i="1"/>
  <c r="E42" i="1"/>
  <c r="H42" i="1"/>
  <c r="O42" i="1"/>
  <c r="U42" i="1"/>
  <c r="F42" i="1"/>
  <c r="B43" i="1"/>
  <c r="A43" i="1"/>
  <c r="C43" i="1"/>
  <c r="M43" i="1"/>
  <c r="K43" i="1"/>
  <c r="L42" i="1"/>
  <c r="J42" i="1"/>
  <c r="V42" i="1"/>
  <c r="D43" i="1"/>
  <c r="G43" i="1"/>
  <c r="T43" i="1"/>
  <c r="W42" i="1"/>
  <c r="E43" i="1"/>
  <c r="H43" i="1"/>
  <c r="O43" i="1"/>
  <c r="U43" i="1"/>
  <c r="F43" i="1"/>
  <c r="B44" i="1"/>
  <c r="A44" i="1"/>
  <c r="C44" i="1"/>
  <c r="M44" i="1"/>
  <c r="K44" i="1"/>
  <c r="L43" i="1"/>
  <c r="J43" i="1"/>
  <c r="V43" i="1"/>
  <c r="D44" i="1"/>
  <c r="G44" i="1"/>
  <c r="T44" i="1"/>
  <c r="W43" i="1"/>
  <c r="E44" i="1"/>
  <c r="H44" i="1"/>
  <c r="O44" i="1"/>
  <c r="U44" i="1"/>
  <c r="F44" i="1"/>
  <c r="B45" i="1"/>
  <c r="A45" i="1"/>
  <c r="C45" i="1"/>
  <c r="M45" i="1"/>
  <c r="K45" i="1"/>
  <c r="L44" i="1"/>
  <c r="J44" i="1"/>
  <c r="V44" i="1"/>
  <c r="D45" i="1"/>
  <c r="G45" i="1"/>
  <c r="T45" i="1"/>
  <c r="W44" i="1"/>
  <c r="E45" i="1"/>
  <c r="H45" i="1"/>
  <c r="O45" i="1"/>
  <c r="U45" i="1"/>
  <c r="F45" i="1"/>
  <c r="B46" i="1"/>
  <c r="A46" i="1"/>
  <c r="C46" i="1"/>
  <c r="M46" i="1"/>
  <c r="K46" i="1"/>
  <c r="L45" i="1"/>
  <c r="J45" i="1"/>
  <c r="V45" i="1"/>
  <c r="D46" i="1"/>
  <c r="G46" i="1"/>
  <c r="T46" i="1"/>
  <c r="W45" i="1"/>
  <c r="E46" i="1"/>
  <c r="H46" i="1"/>
  <c r="O46" i="1"/>
  <c r="U46" i="1"/>
  <c r="F46" i="1"/>
  <c r="B47" i="1"/>
  <c r="A47" i="1"/>
  <c r="C47" i="1"/>
  <c r="M47" i="1"/>
  <c r="K47" i="1"/>
  <c r="L46" i="1"/>
  <c r="J46" i="1"/>
  <c r="V46" i="1"/>
  <c r="D47" i="1"/>
  <c r="G47" i="1"/>
  <c r="T47" i="1"/>
  <c r="W46" i="1"/>
  <c r="E47" i="1"/>
  <c r="H47" i="1"/>
  <c r="O47" i="1"/>
  <c r="U47" i="1"/>
  <c r="F47" i="1"/>
  <c r="B48" i="1"/>
  <c r="A48" i="1"/>
  <c r="C48" i="1"/>
  <c r="M48" i="1"/>
  <c r="K48" i="1"/>
  <c r="L47" i="1"/>
  <c r="J47" i="1"/>
  <c r="V47" i="1"/>
  <c r="D48" i="1"/>
  <c r="G48" i="1"/>
  <c r="T48" i="1"/>
  <c r="W47" i="1"/>
  <c r="E48" i="1"/>
  <c r="H48" i="1"/>
  <c r="O48" i="1"/>
  <c r="U48" i="1"/>
  <c r="F48" i="1"/>
  <c r="B49" i="1"/>
  <c r="A49" i="1"/>
  <c r="C49" i="1"/>
  <c r="M49" i="1"/>
  <c r="K49" i="1"/>
  <c r="L48" i="1"/>
  <c r="J48" i="1"/>
  <c r="V48" i="1"/>
  <c r="D49" i="1"/>
  <c r="G49" i="1"/>
  <c r="T49" i="1"/>
  <c r="W48" i="1"/>
  <c r="E49" i="1"/>
  <c r="H49" i="1"/>
  <c r="O49" i="1"/>
  <c r="U49" i="1"/>
  <c r="F49" i="1"/>
  <c r="B50" i="1"/>
  <c r="A50" i="1"/>
  <c r="C50" i="1"/>
  <c r="M50" i="1"/>
  <c r="K50" i="1"/>
  <c r="L49" i="1"/>
  <c r="J49" i="1"/>
  <c r="V49" i="1"/>
  <c r="D50" i="1"/>
  <c r="G50" i="1"/>
  <c r="T50" i="1"/>
  <c r="W49" i="1"/>
  <c r="E50" i="1"/>
  <c r="H50" i="1"/>
  <c r="O50" i="1"/>
  <c r="U50" i="1"/>
  <c r="F50" i="1"/>
  <c r="B51" i="1"/>
  <c r="A51" i="1"/>
  <c r="C51" i="1"/>
  <c r="M51" i="1"/>
  <c r="K51" i="1"/>
  <c r="L50" i="1"/>
  <c r="J50" i="1"/>
  <c r="V50" i="1"/>
  <c r="D51" i="1"/>
  <c r="G51" i="1"/>
  <c r="T51" i="1"/>
  <c r="W50" i="1"/>
  <c r="E51" i="1"/>
  <c r="H51" i="1"/>
  <c r="O51" i="1"/>
  <c r="U51" i="1"/>
  <c r="F51" i="1"/>
  <c r="B52" i="1"/>
  <c r="A52" i="1"/>
  <c r="C52" i="1"/>
  <c r="M52" i="1"/>
  <c r="K52" i="1"/>
  <c r="L51" i="1"/>
  <c r="J51" i="1"/>
  <c r="V51" i="1"/>
  <c r="D52" i="1"/>
  <c r="G52" i="1"/>
  <c r="T52" i="1"/>
  <c r="W51" i="1"/>
  <c r="E52" i="1"/>
  <c r="H52" i="1"/>
  <c r="O52" i="1"/>
  <c r="U52" i="1"/>
  <c r="F52" i="1"/>
  <c r="B53" i="1"/>
  <c r="A53" i="1"/>
  <c r="C53" i="1"/>
  <c r="M53" i="1"/>
  <c r="K53" i="1"/>
  <c r="L52" i="1"/>
  <c r="J52" i="1"/>
  <c r="V52" i="1"/>
  <c r="D53" i="1"/>
  <c r="G53" i="1"/>
  <c r="T53" i="1"/>
  <c r="W52" i="1"/>
  <c r="E53" i="1"/>
  <c r="H53" i="1"/>
  <c r="O53" i="1"/>
  <c r="U53" i="1"/>
  <c r="F53" i="1"/>
  <c r="B54" i="1"/>
  <c r="A54" i="1"/>
  <c r="C54" i="1"/>
  <c r="M54" i="1"/>
  <c r="K54" i="1"/>
  <c r="L53" i="1"/>
  <c r="J53" i="1"/>
  <c r="V53" i="1"/>
  <c r="D54" i="1"/>
  <c r="G54" i="1"/>
  <c r="T54" i="1"/>
  <c r="W53" i="1"/>
  <c r="E54" i="1"/>
  <c r="H54" i="1"/>
  <c r="O54" i="1"/>
  <c r="U54" i="1"/>
  <c r="F54" i="1"/>
  <c r="B55" i="1"/>
  <c r="A55" i="1"/>
  <c r="C55" i="1"/>
  <c r="M55" i="1"/>
  <c r="K55" i="1"/>
  <c r="L54" i="1"/>
  <c r="J54" i="1"/>
  <c r="V54" i="1"/>
  <c r="D55" i="1"/>
  <c r="G55" i="1"/>
  <c r="T55" i="1"/>
  <c r="W54" i="1"/>
  <c r="E55" i="1"/>
  <c r="H55" i="1"/>
  <c r="O55" i="1"/>
  <c r="U55" i="1"/>
  <c r="F55" i="1"/>
  <c r="B56" i="1"/>
  <c r="A56" i="1"/>
  <c r="C56" i="1"/>
  <c r="M56" i="1"/>
  <c r="K56" i="1"/>
  <c r="L55" i="1"/>
  <c r="J55" i="1"/>
  <c r="V55" i="1"/>
  <c r="D56" i="1"/>
  <c r="G56" i="1"/>
  <c r="T56" i="1"/>
  <c r="W55" i="1"/>
  <c r="E56" i="1"/>
  <c r="H56" i="1"/>
  <c r="O56" i="1"/>
  <c r="U56" i="1"/>
  <c r="F56" i="1"/>
  <c r="B57" i="1"/>
  <c r="A57" i="1"/>
  <c r="C57" i="1"/>
  <c r="M57" i="1"/>
  <c r="K57" i="1"/>
  <c r="L56" i="1"/>
  <c r="J56" i="1"/>
  <c r="V56" i="1"/>
  <c r="D57" i="1"/>
  <c r="G57" i="1"/>
  <c r="T57" i="1"/>
  <c r="W56" i="1"/>
  <c r="E57" i="1"/>
  <c r="H57" i="1"/>
  <c r="O57" i="1"/>
  <c r="U57" i="1"/>
  <c r="F57" i="1"/>
  <c r="B58" i="1"/>
  <c r="A58" i="1"/>
  <c r="C58" i="1"/>
  <c r="M58" i="1"/>
  <c r="K58" i="1"/>
  <c r="L57" i="1"/>
  <c r="J57" i="1"/>
  <c r="V57" i="1"/>
  <c r="D58" i="1"/>
  <c r="G58" i="1"/>
  <c r="T58" i="1"/>
  <c r="W57" i="1"/>
  <c r="E58" i="1"/>
  <c r="H58" i="1"/>
  <c r="O58" i="1"/>
  <c r="U58" i="1"/>
  <c r="F58" i="1"/>
  <c r="B59" i="1"/>
  <c r="A59" i="1"/>
  <c r="C59" i="1"/>
  <c r="M59" i="1"/>
  <c r="K59" i="1"/>
  <c r="L58" i="1"/>
  <c r="J58" i="1"/>
  <c r="V58" i="1"/>
  <c r="D59" i="1"/>
  <c r="G59" i="1"/>
  <c r="T59" i="1"/>
  <c r="W58" i="1"/>
  <c r="E59" i="1"/>
  <c r="H59" i="1"/>
  <c r="O59" i="1"/>
  <c r="U59" i="1"/>
  <c r="F59" i="1"/>
  <c r="B60" i="1"/>
  <c r="A60" i="1"/>
  <c r="C60" i="1"/>
  <c r="M60" i="1"/>
  <c r="K60" i="1"/>
  <c r="L59" i="1"/>
  <c r="J59" i="1"/>
  <c r="V59" i="1"/>
  <c r="D60" i="1"/>
  <c r="G60" i="1"/>
  <c r="T60" i="1"/>
  <c r="W59" i="1"/>
  <c r="E60" i="1"/>
  <c r="H60" i="1"/>
  <c r="O60" i="1"/>
  <c r="U60" i="1"/>
  <c r="F60" i="1"/>
  <c r="B61" i="1"/>
  <c r="A61" i="1"/>
  <c r="C61" i="1"/>
  <c r="M61" i="1"/>
  <c r="K61" i="1"/>
  <c r="L60" i="1"/>
  <c r="J60" i="1"/>
  <c r="V60" i="1"/>
  <c r="D61" i="1"/>
  <c r="G61" i="1"/>
  <c r="T61" i="1"/>
  <c r="W60" i="1"/>
  <c r="E61" i="1"/>
  <c r="H61" i="1"/>
  <c r="O61" i="1"/>
  <c r="U61" i="1"/>
  <c r="F61" i="1"/>
  <c r="B62" i="1"/>
  <c r="A62" i="1"/>
  <c r="C62" i="1"/>
  <c r="M62" i="1"/>
  <c r="K62" i="1"/>
  <c r="L61" i="1"/>
  <c r="J61" i="1"/>
  <c r="V61" i="1"/>
  <c r="D62" i="1"/>
  <c r="G62" i="1"/>
  <c r="T62" i="1"/>
  <c r="W61" i="1"/>
  <c r="E62" i="1"/>
  <c r="H62" i="1"/>
  <c r="O62" i="1"/>
  <c r="U62" i="1"/>
  <c r="F62" i="1"/>
  <c r="B63" i="1"/>
  <c r="A63" i="1"/>
  <c r="C63" i="1"/>
  <c r="M63" i="1"/>
  <c r="K63" i="1"/>
  <c r="L62" i="1"/>
  <c r="J62" i="1"/>
  <c r="V62" i="1"/>
  <c r="D63" i="1"/>
  <c r="G63" i="1"/>
  <c r="T63" i="1"/>
  <c r="W62" i="1"/>
  <c r="E63" i="1"/>
  <c r="H63" i="1"/>
  <c r="O63" i="1"/>
  <c r="U63" i="1"/>
  <c r="F63" i="1"/>
  <c r="B64" i="1"/>
  <c r="A64" i="1"/>
  <c r="C64" i="1"/>
  <c r="M64" i="1"/>
  <c r="K64" i="1"/>
  <c r="L63" i="1"/>
  <c r="J63" i="1"/>
  <c r="V63" i="1"/>
  <c r="D64" i="1"/>
  <c r="G64" i="1"/>
  <c r="T64" i="1"/>
  <c r="W63" i="1"/>
  <c r="E64" i="1"/>
  <c r="H64" i="1"/>
  <c r="O64" i="1"/>
  <c r="U64" i="1"/>
  <c r="F64" i="1"/>
  <c r="B65" i="1"/>
  <c r="A65" i="1"/>
  <c r="C65" i="1"/>
  <c r="M65" i="1"/>
  <c r="K65" i="1"/>
  <c r="L64" i="1"/>
  <c r="J64" i="1"/>
  <c r="V64" i="1"/>
  <c r="D65" i="1"/>
  <c r="G65" i="1"/>
  <c r="T65" i="1"/>
  <c r="W64" i="1"/>
  <c r="E65" i="1"/>
  <c r="H65" i="1"/>
  <c r="O65" i="1"/>
  <c r="U65" i="1"/>
  <c r="F65" i="1"/>
  <c r="B66" i="1"/>
  <c r="A66" i="1"/>
  <c r="C66" i="1"/>
  <c r="M66" i="1"/>
  <c r="K66" i="1"/>
  <c r="L65" i="1"/>
  <c r="J65" i="1"/>
  <c r="V65" i="1"/>
  <c r="D66" i="1"/>
  <c r="G66" i="1"/>
  <c r="T66" i="1"/>
  <c r="W65" i="1"/>
  <c r="E66" i="1"/>
  <c r="H66" i="1"/>
  <c r="O66" i="1"/>
  <c r="U66" i="1"/>
  <c r="F66" i="1"/>
  <c r="B67" i="1"/>
  <c r="A67" i="1"/>
  <c r="C67" i="1"/>
  <c r="M67" i="1"/>
  <c r="K67" i="1"/>
  <c r="L66" i="1"/>
  <c r="J66" i="1"/>
  <c r="V66" i="1"/>
  <c r="D67" i="1"/>
  <c r="G67" i="1"/>
  <c r="T67" i="1"/>
  <c r="W66" i="1"/>
  <c r="E67" i="1"/>
  <c r="H67" i="1"/>
  <c r="O67" i="1"/>
  <c r="U67" i="1"/>
  <c r="F67" i="1"/>
  <c r="B68" i="1"/>
  <c r="A68" i="1"/>
  <c r="C68" i="1"/>
  <c r="M68" i="1"/>
  <c r="K68" i="1"/>
  <c r="L67" i="1"/>
  <c r="J67" i="1"/>
  <c r="V67" i="1"/>
  <c r="D68" i="1"/>
  <c r="G68" i="1"/>
  <c r="T68" i="1"/>
  <c r="W67" i="1"/>
  <c r="E68" i="1"/>
  <c r="H68" i="1"/>
  <c r="O68" i="1"/>
  <c r="U68" i="1"/>
  <c r="F68" i="1"/>
  <c r="B69" i="1"/>
  <c r="A69" i="1"/>
  <c r="C69" i="1"/>
  <c r="M69" i="1"/>
  <c r="K69" i="1"/>
  <c r="L68" i="1"/>
  <c r="J68" i="1"/>
  <c r="V68" i="1"/>
  <c r="D69" i="1"/>
  <c r="G69" i="1"/>
  <c r="T69" i="1"/>
  <c r="W68" i="1"/>
  <c r="E69" i="1"/>
  <c r="H69" i="1"/>
  <c r="O69" i="1"/>
  <c r="U69" i="1"/>
  <c r="F69" i="1"/>
  <c r="B70" i="1"/>
  <c r="A70" i="1"/>
  <c r="C70" i="1"/>
  <c r="M70" i="1"/>
  <c r="K70" i="1"/>
  <c r="L69" i="1"/>
  <c r="J69" i="1"/>
  <c r="V69" i="1"/>
  <c r="D70" i="1"/>
  <c r="G70" i="1"/>
  <c r="T70" i="1"/>
  <c r="W69" i="1"/>
  <c r="E70" i="1"/>
  <c r="H70" i="1"/>
  <c r="O70" i="1"/>
  <c r="U70" i="1"/>
  <c r="F70" i="1"/>
  <c r="B71" i="1"/>
  <c r="A71" i="1"/>
  <c r="C71" i="1"/>
  <c r="M71" i="1"/>
  <c r="K71" i="1"/>
  <c r="L70" i="1"/>
  <c r="J70" i="1"/>
  <c r="V70" i="1"/>
  <c r="D71" i="1"/>
  <c r="G71" i="1"/>
  <c r="T71" i="1"/>
  <c r="W70" i="1"/>
  <c r="E71" i="1"/>
  <c r="H71" i="1"/>
  <c r="O71" i="1"/>
  <c r="U71" i="1"/>
  <c r="F71" i="1"/>
  <c r="B72" i="1"/>
  <c r="A72" i="1"/>
  <c r="C72" i="1"/>
  <c r="M72" i="1"/>
  <c r="K72" i="1"/>
  <c r="L71" i="1"/>
  <c r="J71" i="1"/>
  <c r="V71" i="1"/>
  <c r="D72" i="1"/>
  <c r="G72" i="1"/>
  <c r="T72" i="1"/>
  <c r="W71" i="1"/>
  <c r="E72" i="1"/>
  <c r="H72" i="1"/>
  <c r="O72" i="1"/>
  <c r="U72" i="1"/>
  <c r="F72" i="1"/>
  <c r="B73" i="1"/>
  <c r="A73" i="1"/>
  <c r="C73" i="1"/>
  <c r="M73" i="1"/>
  <c r="K73" i="1"/>
  <c r="L9" i="1"/>
  <c r="R9" i="1"/>
  <c r="C9" i="1"/>
  <c r="M9" i="1"/>
  <c r="R2" i="1"/>
  <c r="R1" i="1"/>
  <c r="R3" i="1"/>
  <c r="S9" i="1"/>
  <c r="F9" i="1"/>
  <c r="B10" i="1"/>
  <c r="L72" i="1"/>
  <c r="J72" i="1"/>
  <c r="V72" i="1"/>
  <c r="D73" i="1"/>
  <c r="W72" i="1"/>
  <c r="E73" i="1"/>
  <c r="G73" i="1"/>
  <c r="H73" i="1"/>
  <c r="O73" i="1"/>
  <c r="L73" i="1"/>
  <c r="J73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10" i="1"/>
  <c r="M10" i="1"/>
  <c r="N9" i="1"/>
  <c r="O3" i="1"/>
  <c r="N3" i="1"/>
  <c r="P3" i="1"/>
  <c r="E9" i="1"/>
  <c r="D9" i="1"/>
  <c r="B9" i="1"/>
  <c r="H9" i="1"/>
  <c r="O9" i="1"/>
  <c r="T9" i="1"/>
  <c r="U9" i="1"/>
  <c r="A10" i="1"/>
  <c r="C10" i="1"/>
  <c r="F10" i="1"/>
  <c r="T73" i="1"/>
  <c r="U73" i="1"/>
  <c r="W73" i="1"/>
  <c r="V73" i="1"/>
  <c r="F73" i="1"/>
  <c r="A27" i="2"/>
  <c r="C26" i="2"/>
  <c r="A26" i="2"/>
  <c r="C25" i="2"/>
  <c r="A25" i="2"/>
  <c r="C24" i="2"/>
  <c r="A24" i="2"/>
  <c r="C23" i="2"/>
  <c r="A23" i="2"/>
  <c r="C22" i="2"/>
  <c r="A11" i="2"/>
  <c r="A12" i="2"/>
  <c r="A13" i="2"/>
  <c r="A14" i="2"/>
  <c r="A15" i="2"/>
  <c r="A16" i="2"/>
  <c r="A17" i="2"/>
  <c r="A18" i="2"/>
  <c r="A19" i="2"/>
  <c r="A20" i="2"/>
  <c r="A21" i="2"/>
  <c r="A22" i="2"/>
  <c r="C21" i="2"/>
  <c r="C20" i="2"/>
  <c r="C19" i="2"/>
  <c r="C18" i="2"/>
  <c r="C17" i="2"/>
  <c r="C16" i="2"/>
  <c r="C15" i="2"/>
  <c r="C14" i="2"/>
  <c r="C13" i="2"/>
  <c r="C12" i="2"/>
  <c r="C11" i="2"/>
  <c r="C10" i="2"/>
  <c r="A10" i="2"/>
  <c r="C9" i="2"/>
  <c r="A9" i="2"/>
  <c r="C8" i="2"/>
  <c r="C7" i="2"/>
  <c r="C6" i="2"/>
  <c r="C5" i="2"/>
  <c r="C4" i="2"/>
  <c r="C3" i="2"/>
  <c r="C2" i="2"/>
  <c r="A8" i="2"/>
  <c r="A7" i="2"/>
  <c r="A6" i="2"/>
  <c r="A5" i="2"/>
  <c r="A4" i="2"/>
  <c r="A3" i="2"/>
</calcChain>
</file>

<file path=xl/sharedStrings.xml><?xml version="1.0" encoding="utf-8"?>
<sst xmlns="http://schemas.openxmlformats.org/spreadsheetml/2006/main" count="55" uniqueCount="53">
  <si>
    <t>ETP2 Reference Model</t>
  </si>
  <si>
    <t>Time</t>
  </si>
  <si>
    <t>Temperatures</t>
  </si>
  <si>
    <t>Thermal properties</t>
  </si>
  <si>
    <t>UA</t>
  </si>
  <si>
    <t>HM</t>
  </si>
  <si>
    <t>TA</t>
  </si>
  <si>
    <t>TM</t>
  </si>
  <si>
    <t>TO</t>
  </si>
  <si>
    <t>TI</t>
  </si>
  <si>
    <t>CA</t>
  </si>
  <si>
    <t>CM</t>
  </si>
  <si>
    <t>HVAC Properties</t>
  </si>
  <si>
    <t>QH</t>
  </si>
  <si>
    <t>TS</t>
  </si>
  <si>
    <t>TH</t>
  </si>
  <si>
    <t>TC</t>
  </si>
  <si>
    <t>DB</t>
  </si>
  <si>
    <t>a</t>
  </si>
  <si>
    <t>b</t>
  </si>
  <si>
    <t>c</t>
  </si>
  <si>
    <t>A</t>
  </si>
  <si>
    <t>B</t>
  </si>
  <si>
    <t>C</t>
  </si>
  <si>
    <t>D</t>
  </si>
  <si>
    <t>Mode</t>
  </si>
  <si>
    <t>HVAC</t>
  </si>
  <si>
    <t>Solution parameters</t>
  </si>
  <si>
    <t>Solution variables</t>
  </si>
  <si>
    <t>dTO</t>
  </si>
  <si>
    <t>QA</t>
  </si>
  <si>
    <t>QM</t>
  </si>
  <si>
    <t>f0</t>
  </si>
  <si>
    <t>g0</t>
  </si>
  <si>
    <t>h0</t>
  </si>
  <si>
    <t>GridLAB-D</t>
  </si>
  <si>
    <t>Module</t>
  </si>
  <si>
    <t>Class</t>
  </si>
  <si>
    <t>house_e</t>
  </si>
  <si>
    <t>residential</t>
  </si>
  <si>
    <t>3.0.0</t>
  </si>
  <si>
    <t>Build</t>
  </si>
  <si>
    <t>TN</t>
  </si>
  <si>
    <t>dTA(0)</t>
  </si>
  <si>
    <t>Dh</t>
  </si>
  <si>
    <t>Dg</t>
  </si>
  <si>
    <t>p=</t>
  </si>
  <si>
    <t>q=</t>
  </si>
  <si>
    <t>rb2_4ac=</t>
  </si>
  <si>
    <t>Dt</t>
  </si>
  <si>
    <t>TA(Dt)</t>
  </si>
  <si>
    <t>TM(Dt)</t>
  </si>
  <si>
    <t>NOTE: This solution is not correct (see wiki page ETP Closed Form Solution for details)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</si>
</sst>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0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scheme val="minor"/>
    </font>
    <font>
      <b/>
      <sz val="12"/>
      <name val="Calibri"/>
      <scheme val="minor"/>
    </font>
    <font>
      <b/>
      <sz val="12"/>
      <color rgb="FFFF000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7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1" fillId="0" borderId="1" xfId="0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0" applyFont="1"/>
    <xf numFmtId="164" fontId="4" fillId="2" borderId="5" xfId="0" applyNumberFormat="1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164" fontId="4" fillId="2" borderId="6" xfId="0" applyNumberFormat="1" applyFont="1" applyFill="1" applyBorder="1" applyAlignment="1">
      <alignment horizontal="center"/>
    </xf>
    <xf numFmtId="164" fontId="4" fillId="2" borderId="7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22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Border="1"/>
    <xf numFmtId="0" fontId="5" fillId="0" borderId="0" xfId="0" applyFont="1" applyBorder="1"/>
    <xf numFmtId="22" fontId="4" fillId="0" borderId="0" xfId="0" applyNumberFormat="1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2" fontId="4" fillId="0" borderId="0" xfId="0" applyNumberFormat="1" applyFont="1" applyBorder="1" applyAlignment="1">
      <alignment horizontal="center"/>
    </xf>
    <xf numFmtId="0" fontId="4" fillId="0" borderId="0" xfId="0" applyFont="1" applyBorder="1"/>
    <xf numFmtId="2" fontId="0" fillId="0" borderId="0" xfId="0" applyNumberFormat="1"/>
    <xf numFmtId="2" fontId="0" fillId="0" borderId="0" xfId="0" applyNumberFormat="1" applyAlignment="1">
      <alignment horizontal="center"/>
    </xf>
    <xf numFmtId="165" fontId="5" fillId="0" borderId="0" xfId="0" applyNumberFormat="1" applyFont="1"/>
    <xf numFmtId="1" fontId="4" fillId="0" borderId="0" xfId="0" applyNumberFormat="1" applyFont="1" applyBorder="1" applyAlignment="1">
      <alignment horizontal="center"/>
    </xf>
    <xf numFmtId="1" fontId="5" fillId="0" borderId="0" xfId="0" applyNumberFormat="1" applyFont="1"/>
    <xf numFmtId="0" fontId="5" fillId="0" borderId="0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6" fillId="0" borderId="0" xfId="0" applyFont="1" applyAlignment="1">
      <alignment horizontal="left"/>
    </xf>
  </cellXfs>
  <cellStyles count="7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House!$B$8</c:f>
              <c:strCache>
                <c:ptCount val="1"/>
                <c:pt idx="0">
                  <c:v>TO</c:v>
                </c:pt>
              </c:strCache>
            </c:strRef>
          </c:tx>
          <c:marker>
            <c:symbol val="none"/>
          </c:marker>
          <c:xVal>
            <c:numRef>
              <c:f>House!$A$9:$A$73</c:f>
              <c:numCache>
                <c:formatCode>m/d/yy\ h:mm</c:formatCode>
                <c:ptCount val="65"/>
                <c:pt idx="0">
                  <c:v>36526.0</c:v>
                </c:pt>
                <c:pt idx="1">
                  <c:v>36526.00267144342</c:v>
                </c:pt>
                <c:pt idx="2">
                  <c:v>36526.00030033225</c:v>
                </c:pt>
                <c:pt idx="3">
                  <c:v>36526.03661457828</c:v>
                </c:pt>
                <c:pt idx="4">
                  <c:v>36526.04167244865</c:v>
                </c:pt>
                <c:pt idx="5">
                  <c:v>36526.076285214</c:v>
                </c:pt>
                <c:pt idx="6">
                  <c:v>36526.08333382511</c:v>
                </c:pt>
                <c:pt idx="7">
                  <c:v>36526.1160672215</c:v>
                </c:pt>
                <c:pt idx="8">
                  <c:v>36526.12500240669</c:v>
                </c:pt>
                <c:pt idx="9">
                  <c:v>36526.1558559092</c:v>
                </c:pt>
                <c:pt idx="10">
                  <c:v>36526.16666609438</c:v>
                </c:pt>
                <c:pt idx="11">
                  <c:v>36526.19564262745</c:v>
                </c:pt>
                <c:pt idx="12">
                  <c:v>36526.20832781263</c:v>
                </c:pt>
                <c:pt idx="13">
                  <c:v>36526.23409694264</c:v>
                </c:pt>
                <c:pt idx="14">
                  <c:v>36526.24999972041</c:v>
                </c:pt>
                <c:pt idx="15">
                  <c:v>36526.27491646831</c:v>
                </c:pt>
                <c:pt idx="16">
                  <c:v>36526.2916641535</c:v>
                </c:pt>
                <c:pt idx="17">
                  <c:v>36526.31464375991</c:v>
                </c:pt>
                <c:pt idx="18">
                  <c:v>36526.33333588954</c:v>
                </c:pt>
                <c:pt idx="19">
                  <c:v>36526.35457451121</c:v>
                </c:pt>
                <c:pt idx="20">
                  <c:v>36526.37500275196</c:v>
                </c:pt>
                <c:pt idx="21">
                  <c:v>36526.39727221971</c:v>
                </c:pt>
                <c:pt idx="22">
                  <c:v>36526.41667036786</c:v>
                </c:pt>
                <c:pt idx="23">
                  <c:v>36526.44114684284</c:v>
                </c:pt>
                <c:pt idx="24">
                  <c:v>36526.45833434284</c:v>
                </c:pt>
                <c:pt idx="25">
                  <c:v>36526.48569225802</c:v>
                </c:pt>
                <c:pt idx="26">
                  <c:v>36526.49999781357</c:v>
                </c:pt>
                <c:pt idx="27">
                  <c:v>36526.52895104713</c:v>
                </c:pt>
                <c:pt idx="28">
                  <c:v>36526.54167095454</c:v>
                </c:pt>
                <c:pt idx="29">
                  <c:v>36526.57355907893</c:v>
                </c:pt>
                <c:pt idx="30">
                  <c:v>36526.58332759745</c:v>
                </c:pt>
                <c:pt idx="31">
                  <c:v>36526.61519974497</c:v>
                </c:pt>
                <c:pt idx="32">
                  <c:v>36526.62500298571</c:v>
                </c:pt>
                <c:pt idx="33">
                  <c:v>36526.65994748549</c:v>
                </c:pt>
                <c:pt idx="34">
                  <c:v>36526.66667202252</c:v>
                </c:pt>
                <c:pt idx="35">
                  <c:v>36526.70482184852</c:v>
                </c:pt>
                <c:pt idx="36">
                  <c:v>36526.70832879297</c:v>
                </c:pt>
                <c:pt idx="37">
                  <c:v>36526.74684557243</c:v>
                </c:pt>
                <c:pt idx="38">
                  <c:v>36526.75000529465</c:v>
                </c:pt>
                <c:pt idx="39">
                  <c:v>36526.78454333665</c:v>
                </c:pt>
                <c:pt idx="40">
                  <c:v>36526.79166139221</c:v>
                </c:pt>
                <c:pt idx="41">
                  <c:v>36526.82535103577</c:v>
                </c:pt>
                <c:pt idx="42">
                  <c:v>36526.83333714687</c:v>
                </c:pt>
                <c:pt idx="43">
                  <c:v>36526.86450400367</c:v>
                </c:pt>
                <c:pt idx="44">
                  <c:v>36526.87500168886</c:v>
                </c:pt>
                <c:pt idx="45">
                  <c:v>36526.90710259543</c:v>
                </c:pt>
                <c:pt idx="46">
                  <c:v>36526.91666278061</c:v>
                </c:pt>
                <c:pt idx="47">
                  <c:v>36526.94882841329</c:v>
                </c:pt>
                <c:pt idx="48">
                  <c:v>36526.9583307281</c:v>
                </c:pt>
                <c:pt idx="49">
                  <c:v>36526.98855413708</c:v>
                </c:pt>
                <c:pt idx="50">
                  <c:v>36527.00000089635</c:v>
                </c:pt>
                <c:pt idx="51">
                  <c:v>36527.02835038622</c:v>
                </c:pt>
                <c:pt idx="52">
                  <c:v>36527.04167214547</c:v>
                </c:pt>
                <c:pt idx="53">
                  <c:v>36527.0668842169</c:v>
                </c:pt>
                <c:pt idx="54">
                  <c:v>36527.08333097616</c:v>
                </c:pt>
                <c:pt idx="55">
                  <c:v>36527.1085430476</c:v>
                </c:pt>
                <c:pt idx="56">
                  <c:v>36527.12500138093</c:v>
                </c:pt>
                <c:pt idx="57">
                  <c:v>36527.15021345235</c:v>
                </c:pt>
                <c:pt idx="58">
                  <c:v>36527.16667178569</c:v>
                </c:pt>
                <c:pt idx="59">
                  <c:v>36527.19188385711</c:v>
                </c:pt>
                <c:pt idx="60">
                  <c:v>36527.20833061638</c:v>
                </c:pt>
                <c:pt idx="61">
                  <c:v>36527.23354268781</c:v>
                </c:pt>
                <c:pt idx="62">
                  <c:v>36527.25000102114</c:v>
                </c:pt>
                <c:pt idx="63">
                  <c:v>36527.27521309256</c:v>
                </c:pt>
                <c:pt idx="64">
                  <c:v>36527.2916714259</c:v>
                </c:pt>
              </c:numCache>
            </c:numRef>
          </c:xVal>
          <c:yVal>
            <c:numRef>
              <c:f>House!$B$9:$B$73</c:f>
              <c:numCache>
                <c:formatCode>0.00</c:formatCode>
                <c:ptCount val="65"/>
                <c:pt idx="0">
                  <c:v>50.0</c:v>
                </c:pt>
                <c:pt idx="1">
                  <c:v>49.87177071557174</c:v>
                </c:pt>
                <c:pt idx="2">
                  <c:v>49.9855840520751</c:v>
                </c:pt>
                <c:pt idx="3">
                  <c:v>48.2425002426233</c:v>
                </c:pt>
                <c:pt idx="4">
                  <c:v>47.99972246484553</c:v>
                </c:pt>
                <c:pt idx="5">
                  <c:v>46.33830972860435</c:v>
                </c:pt>
                <c:pt idx="6">
                  <c:v>45.99997639527102</c:v>
                </c:pt>
                <c:pt idx="7">
                  <c:v>44.42877336843796</c:v>
                </c:pt>
                <c:pt idx="8">
                  <c:v>43.99988447954907</c:v>
                </c:pt>
                <c:pt idx="9">
                  <c:v>42.51891635945371</c:v>
                </c:pt>
                <c:pt idx="10">
                  <c:v>42.00002747056482</c:v>
                </c:pt>
                <c:pt idx="11">
                  <c:v>40.6091538835117</c:v>
                </c:pt>
                <c:pt idx="12">
                  <c:v>40.30470943906726</c:v>
                </c:pt>
                <c:pt idx="13">
                  <c:v>39.68625031897056</c:v>
                </c:pt>
                <c:pt idx="14">
                  <c:v>39.3045836523039</c:v>
                </c:pt>
                <c:pt idx="15">
                  <c:v>38.70658170280682</c:v>
                </c:pt>
                <c:pt idx="16">
                  <c:v>38.70658170280682</c:v>
                </c:pt>
                <c:pt idx="17">
                  <c:v>38.70658170280682</c:v>
                </c:pt>
                <c:pt idx="18">
                  <c:v>39.60380392502904</c:v>
                </c:pt>
                <c:pt idx="19">
                  <c:v>41.13298468543513</c:v>
                </c:pt>
                <c:pt idx="20">
                  <c:v>42.60381801876846</c:v>
                </c:pt>
                <c:pt idx="21">
                  <c:v>44.20721969755392</c:v>
                </c:pt>
                <c:pt idx="22">
                  <c:v>45.60388636422059</c:v>
                </c:pt>
                <c:pt idx="23">
                  <c:v>46.77875716343184</c:v>
                </c:pt>
                <c:pt idx="24">
                  <c:v>47.60375716343184</c:v>
                </c:pt>
                <c:pt idx="25">
                  <c:v>48.9169370918114</c:v>
                </c:pt>
                <c:pt idx="26">
                  <c:v>49.60360375847807</c:v>
                </c:pt>
                <c:pt idx="27">
                  <c:v>50.99335896915376</c:v>
                </c:pt>
                <c:pt idx="28">
                  <c:v>51.29863674693153</c:v>
                </c:pt>
                <c:pt idx="29">
                  <c:v>52.82926671775259</c:v>
                </c:pt>
                <c:pt idx="30">
                  <c:v>53.29815560664147</c:v>
                </c:pt>
                <c:pt idx="31">
                  <c:v>54.82801868745073</c:v>
                </c:pt>
                <c:pt idx="32">
                  <c:v>55.06329646522851</c:v>
                </c:pt>
                <c:pt idx="33">
                  <c:v>54.22462847049557</c:v>
                </c:pt>
                <c:pt idx="34">
                  <c:v>54.06323958160668</c:v>
                </c:pt>
                <c:pt idx="35">
                  <c:v>52.2320479333083</c:v>
                </c:pt>
                <c:pt idx="36">
                  <c:v>52.06371459997496</c:v>
                </c:pt>
                <c:pt idx="37">
                  <c:v>50.21490918601944</c:v>
                </c:pt>
                <c:pt idx="38">
                  <c:v>50.1390758526861</c:v>
                </c:pt>
                <c:pt idx="39">
                  <c:v>49.31016284459216</c:v>
                </c:pt>
                <c:pt idx="40">
                  <c:v>49.13932951125883</c:v>
                </c:pt>
                <c:pt idx="41">
                  <c:v>48.33077806578224</c:v>
                </c:pt>
                <c:pt idx="42">
                  <c:v>48.33077806578224</c:v>
                </c:pt>
                <c:pt idx="43">
                  <c:v>47.58277350265664</c:v>
                </c:pt>
                <c:pt idx="44">
                  <c:v>47.3308290582122</c:v>
                </c:pt>
                <c:pt idx="45">
                  <c:v>45.78998554317001</c:v>
                </c:pt>
                <c:pt idx="46">
                  <c:v>45.33109665428113</c:v>
                </c:pt>
                <c:pt idx="47">
                  <c:v>43.78714628586393</c:v>
                </c:pt>
                <c:pt idx="48">
                  <c:v>43.33103517475282</c:v>
                </c:pt>
                <c:pt idx="49">
                  <c:v>41.8803115435508</c:v>
                </c:pt>
                <c:pt idx="50">
                  <c:v>41.33086709910635</c:v>
                </c:pt>
                <c:pt idx="51">
                  <c:v>41.33086709910635</c:v>
                </c:pt>
                <c:pt idx="52">
                  <c:v>41.33086709910635</c:v>
                </c:pt>
                <c:pt idx="53">
                  <c:v>41.33086709910635</c:v>
                </c:pt>
                <c:pt idx="54">
                  <c:v>41.33086709910635</c:v>
                </c:pt>
                <c:pt idx="55">
                  <c:v>41.33086709910635</c:v>
                </c:pt>
                <c:pt idx="56">
                  <c:v>41.33086709910635</c:v>
                </c:pt>
                <c:pt idx="57">
                  <c:v>41.33086709910635</c:v>
                </c:pt>
                <c:pt idx="58">
                  <c:v>41.33086709910635</c:v>
                </c:pt>
                <c:pt idx="59">
                  <c:v>41.33086709910635</c:v>
                </c:pt>
                <c:pt idx="60">
                  <c:v>41.33086709910635</c:v>
                </c:pt>
                <c:pt idx="61">
                  <c:v>41.33086709910635</c:v>
                </c:pt>
                <c:pt idx="62">
                  <c:v>41.33086709910635</c:v>
                </c:pt>
                <c:pt idx="63">
                  <c:v>41.33086709910635</c:v>
                </c:pt>
                <c:pt idx="64">
                  <c:v>41.33086709910635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House!$D$8</c:f>
              <c:strCache>
                <c:ptCount val="1"/>
                <c:pt idx="0">
                  <c:v>TA</c:v>
                </c:pt>
              </c:strCache>
            </c:strRef>
          </c:tx>
          <c:marker>
            <c:symbol val="none"/>
          </c:marker>
          <c:xVal>
            <c:numRef>
              <c:f>House!$A$9:$A$73</c:f>
              <c:numCache>
                <c:formatCode>m/d/yy\ h:mm</c:formatCode>
                <c:ptCount val="65"/>
                <c:pt idx="0">
                  <c:v>36526.0</c:v>
                </c:pt>
                <c:pt idx="1">
                  <c:v>36526.00267144342</c:v>
                </c:pt>
                <c:pt idx="2">
                  <c:v>36526.00030033225</c:v>
                </c:pt>
                <c:pt idx="3">
                  <c:v>36526.03661457828</c:v>
                </c:pt>
                <c:pt idx="4">
                  <c:v>36526.04167244865</c:v>
                </c:pt>
                <c:pt idx="5">
                  <c:v>36526.076285214</c:v>
                </c:pt>
                <c:pt idx="6">
                  <c:v>36526.08333382511</c:v>
                </c:pt>
                <c:pt idx="7">
                  <c:v>36526.1160672215</c:v>
                </c:pt>
                <c:pt idx="8">
                  <c:v>36526.12500240669</c:v>
                </c:pt>
                <c:pt idx="9">
                  <c:v>36526.1558559092</c:v>
                </c:pt>
                <c:pt idx="10">
                  <c:v>36526.16666609438</c:v>
                </c:pt>
                <c:pt idx="11">
                  <c:v>36526.19564262745</c:v>
                </c:pt>
                <c:pt idx="12">
                  <c:v>36526.20832781263</c:v>
                </c:pt>
                <c:pt idx="13">
                  <c:v>36526.23409694264</c:v>
                </c:pt>
                <c:pt idx="14">
                  <c:v>36526.24999972041</c:v>
                </c:pt>
                <c:pt idx="15">
                  <c:v>36526.27491646831</c:v>
                </c:pt>
                <c:pt idx="16">
                  <c:v>36526.2916641535</c:v>
                </c:pt>
                <c:pt idx="17">
                  <c:v>36526.31464375991</c:v>
                </c:pt>
                <c:pt idx="18">
                  <c:v>36526.33333588954</c:v>
                </c:pt>
                <c:pt idx="19">
                  <c:v>36526.35457451121</c:v>
                </c:pt>
                <c:pt idx="20">
                  <c:v>36526.37500275196</c:v>
                </c:pt>
                <c:pt idx="21">
                  <c:v>36526.39727221971</c:v>
                </c:pt>
                <c:pt idx="22">
                  <c:v>36526.41667036786</c:v>
                </c:pt>
                <c:pt idx="23">
                  <c:v>36526.44114684284</c:v>
                </c:pt>
                <c:pt idx="24">
                  <c:v>36526.45833434284</c:v>
                </c:pt>
                <c:pt idx="25">
                  <c:v>36526.48569225802</c:v>
                </c:pt>
                <c:pt idx="26">
                  <c:v>36526.49999781357</c:v>
                </c:pt>
                <c:pt idx="27">
                  <c:v>36526.52895104713</c:v>
                </c:pt>
                <c:pt idx="28">
                  <c:v>36526.54167095454</c:v>
                </c:pt>
                <c:pt idx="29">
                  <c:v>36526.57355907893</c:v>
                </c:pt>
                <c:pt idx="30">
                  <c:v>36526.58332759745</c:v>
                </c:pt>
                <c:pt idx="31">
                  <c:v>36526.61519974497</c:v>
                </c:pt>
                <c:pt idx="32">
                  <c:v>36526.62500298571</c:v>
                </c:pt>
                <c:pt idx="33">
                  <c:v>36526.65994748549</c:v>
                </c:pt>
                <c:pt idx="34">
                  <c:v>36526.66667202252</c:v>
                </c:pt>
                <c:pt idx="35">
                  <c:v>36526.70482184852</c:v>
                </c:pt>
                <c:pt idx="36">
                  <c:v>36526.70832879297</c:v>
                </c:pt>
                <c:pt idx="37">
                  <c:v>36526.74684557243</c:v>
                </c:pt>
                <c:pt idx="38">
                  <c:v>36526.75000529465</c:v>
                </c:pt>
                <c:pt idx="39">
                  <c:v>36526.78454333665</c:v>
                </c:pt>
                <c:pt idx="40">
                  <c:v>36526.79166139221</c:v>
                </c:pt>
                <c:pt idx="41">
                  <c:v>36526.82535103577</c:v>
                </c:pt>
                <c:pt idx="42">
                  <c:v>36526.83333714687</c:v>
                </c:pt>
                <c:pt idx="43">
                  <c:v>36526.86450400367</c:v>
                </c:pt>
                <c:pt idx="44">
                  <c:v>36526.87500168886</c:v>
                </c:pt>
                <c:pt idx="45">
                  <c:v>36526.90710259543</c:v>
                </c:pt>
                <c:pt idx="46">
                  <c:v>36526.91666278061</c:v>
                </c:pt>
                <c:pt idx="47">
                  <c:v>36526.94882841329</c:v>
                </c:pt>
                <c:pt idx="48">
                  <c:v>36526.9583307281</c:v>
                </c:pt>
                <c:pt idx="49">
                  <c:v>36526.98855413708</c:v>
                </c:pt>
                <c:pt idx="50">
                  <c:v>36527.00000089635</c:v>
                </c:pt>
                <c:pt idx="51">
                  <c:v>36527.02835038622</c:v>
                </c:pt>
                <c:pt idx="52">
                  <c:v>36527.04167214547</c:v>
                </c:pt>
                <c:pt idx="53">
                  <c:v>36527.0668842169</c:v>
                </c:pt>
                <c:pt idx="54">
                  <c:v>36527.08333097616</c:v>
                </c:pt>
                <c:pt idx="55">
                  <c:v>36527.1085430476</c:v>
                </c:pt>
                <c:pt idx="56">
                  <c:v>36527.12500138093</c:v>
                </c:pt>
                <c:pt idx="57">
                  <c:v>36527.15021345235</c:v>
                </c:pt>
                <c:pt idx="58">
                  <c:v>36527.16667178569</c:v>
                </c:pt>
                <c:pt idx="59">
                  <c:v>36527.19188385711</c:v>
                </c:pt>
                <c:pt idx="60">
                  <c:v>36527.20833061638</c:v>
                </c:pt>
                <c:pt idx="61">
                  <c:v>36527.23354268781</c:v>
                </c:pt>
                <c:pt idx="62">
                  <c:v>36527.25000102114</c:v>
                </c:pt>
                <c:pt idx="63">
                  <c:v>36527.27521309256</c:v>
                </c:pt>
                <c:pt idx="64">
                  <c:v>36527.2916714259</c:v>
                </c:pt>
              </c:numCache>
            </c:numRef>
          </c:xVal>
          <c:yVal>
            <c:numRef>
              <c:f>House!$D$9:$D$73</c:f>
              <c:numCache>
                <c:formatCode>0.00</c:formatCode>
                <c:ptCount val="65"/>
                <c:pt idx="0">
                  <c:v>70.0</c:v>
                </c:pt>
                <c:pt idx="1">
                  <c:v>-8076.642527839971</c:v>
                </c:pt>
                <c:pt idx="2">
                  <c:v>111.7382752583974</c:v>
                </c:pt>
                <c:pt idx="3">
                  <c:v>-13.76027166134842</c:v>
                </c:pt>
                <c:pt idx="4">
                  <c:v>110.109004785449</c:v>
                </c:pt>
                <c:pt idx="5">
                  <c:v>-15.746133248578</c:v>
                </c:pt>
                <c:pt idx="6">
                  <c:v>108.20481427143</c:v>
                </c:pt>
                <c:pt idx="7">
                  <c:v>-17.74587931815251</c:v>
                </c:pt>
                <c:pt idx="8">
                  <c:v>106.2952779112637</c:v>
                </c:pt>
                <c:pt idx="9">
                  <c:v>-19.74597123387445</c:v>
                </c:pt>
                <c:pt idx="10">
                  <c:v>104.3854209022794</c:v>
                </c:pt>
                <c:pt idx="11">
                  <c:v>-21.74582824285871</c:v>
                </c:pt>
                <c:pt idx="12">
                  <c:v>102.9454962189869</c:v>
                </c:pt>
                <c:pt idx="13">
                  <c:v>-22.9713084817068</c:v>
                </c:pt>
                <c:pt idx="14">
                  <c:v>102.0225926544457</c:v>
                </c:pt>
                <c:pt idx="15">
                  <c:v>-23.97143426847017</c:v>
                </c:pt>
                <c:pt idx="16">
                  <c:v>101.5127618309314</c:v>
                </c:pt>
                <c:pt idx="17">
                  <c:v>-24.09959842531778</c:v>
                </c:pt>
                <c:pt idx="18">
                  <c:v>102.4524374162304</c:v>
                </c:pt>
                <c:pt idx="19">
                  <c:v>-21.79286282514719</c:v>
                </c:pt>
                <c:pt idx="20">
                  <c:v>105.3486781915081</c:v>
                </c:pt>
                <c:pt idx="21">
                  <c:v>-18.79284873140776</c:v>
                </c:pt>
                <c:pt idx="22">
                  <c:v>108.4229132036269</c:v>
                </c:pt>
                <c:pt idx="23">
                  <c:v>-16.26261817860509</c:v>
                </c:pt>
                <c:pt idx="24">
                  <c:v>110.5246128768554</c:v>
                </c:pt>
                <c:pt idx="25">
                  <c:v>-14.26274737939384</c:v>
                </c:pt>
                <c:pt idx="26">
                  <c:v>112.6627928052349</c:v>
                </c:pt>
                <c:pt idx="27">
                  <c:v>-12.26290078434762</c:v>
                </c:pt>
                <c:pt idx="28">
                  <c:v>114.2693768899278</c:v>
                </c:pt>
                <c:pt idx="29">
                  <c:v>-10.56786779589415</c:v>
                </c:pt>
                <c:pt idx="30">
                  <c:v>116.5751224311761</c:v>
                </c:pt>
                <c:pt idx="31">
                  <c:v>-8.568348936184204</c:v>
                </c:pt>
                <c:pt idx="32">
                  <c:v>118.1040366082248</c:v>
                </c:pt>
                <c:pt idx="33">
                  <c:v>-8.212721455545557</c:v>
                </c:pt>
                <c:pt idx="34">
                  <c:v>116.5609708059707</c:v>
                </c:pt>
                <c:pt idx="35">
                  <c:v>-9.682616131816848</c:v>
                </c:pt>
                <c:pt idx="36">
                  <c:v>114.098552476134</c:v>
                </c:pt>
                <c:pt idx="37">
                  <c:v>-11.68214111344856</c:v>
                </c:pt>
                <c:pt idx="38">
                  <c:v>112.5512515214946</c:v>
                </c:pt>
                <c:pt idx="39">
                  <c:v>-13.13694206808796</c:v>
                </c:pt>
                <c:pt idx="40">
                  <c:v>111.6465051800673</c:v>
                </c:pt>
                <c:pt idx="41">
                  <c:v>-14.13668840951523</c:v>
                </c:pt>
                <c:pt idx="42">
                  <c:v>111.1369581939068</c:v>
                </c:pt>
                <c:pt idx="43">
                  <c:v>-14.94523985499182</c:v>
                </c:pt>
                <c:pt idx="44">
                  <c:v>109.9191158381318</c:v>
                </c:pt>
                <c:pt idx="45">
                  <c:v>-16.41502665521133</c:v>
                </c:pt>
                <c:pt idx="46">
                  <c:v>107.6564900859957</c:v>
                </c:pt>
                <c:pt idx="47">
                  <c:v>-18.4147590591424</c:v>
                </c:pt>
                <c:pt idx="48">
                  <c:v>105.6536508286896</c:v>
                </c:pt>
                <c:pt idx="49">
                  <c:v>-20.41482053867071</c:v>
                </c:pt>
                <c:pt idx="50">
                  <c:v>103.7468160863765</c:v>
                </c:pt>
                <c:pt idx="51">
                  <c:v>-21.47531302901826</c:v>
                </c:pt>
                <c:pt idx="52">
                  <c:v>104.137047227231</c:v>
                </c:pt>
                <c:pt idx="53">
                  <c:v>-21.47531302901826</c:v>
                </c:pt>
                <c:pt idx="54">
                  <c:v>104.137047227231</c:v>
                </c:pt>
                <c:pt idx="55">
                  <c:v>-21.47531302901826</c:v>
                </c:pt>
                <c:pt idx="56">
                  <c:v>104.137047227231</c:v>
                </c:pt>
                <c:pt idx="57">
                  <c:v>-21.47531302901826</c:v>
                </c:pt>
                <c:pt idx="58">
                  <c:v>104.137047227231</c:v>
                </c:pt>
                <c:pt idx="59">
                  <c:v>-21.47531302901826</c:v>
                </c:pt>
                <c:pt idx="60">
                  <c:v>104.137047227231</c:v>
                </c:pt>
                <c:pt idx="61">
                  <c:v>-21.47531302901826</c:v>
                </c:pt>
                <c:pt idx="62">
                  <c:v>104.137047227231</c:v>
                </c:pt>
                <c:pt idx="63">
                  <c:v>-21.47531302901826</c:v>
                </c:pt>
                <c:pt idx="64">
                  <c:v>104.137047227231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House!$E$8</c:f>
              <c:strCache>
                <c:ptCount val="1"/>
                <c:pt idx="0">
                  <c:v>TM</c:v>
                </c:pt>
              </c:strCache>
            </c:strRef>
          </c:tx>
          <c:marker>
            <c:symbol val="none"/>
          </c:marker>
          <c:xVal>
            <c:numRef>
              <c:f>House!$A$9:$A$73</c:f>
              <c:numCache>
                <c:formatCode>m/d/yy\ h:mm</c:formatCode>
                <c:ptCount val="65"/>
                <c:pt idx="0">
                  <c:v>36526.0</c:v>
                </c:pt>
                <c:pt idx="1">
                  <c:v>36526.00267144342</c:v>
                </c:pt>
                <c:pt idx="2">
                  <c:v>36526.00030033225</c:v>
                </c:pt>
                <c:pt idx="3">
                  <c:v>36526.03661457828</c:v>
                </c:pt>
                <c:pt idx="4">
                  <c:v>36526.04167244865</c:v>
                </c:pt>
                <c:pt idx="5">
                  <c:v>36526.076285214</c:v>
                </c:pt>
                <c:pt idx="6">
                  <c:v>36526.08333382511</c:v>
                </c:pt>
                <c:pt idx="7">
                  <c:v>36526.1160672215</c:v>
                </c:pt>
                <c:pt idx="8">
                  <c:v>36526.12500240669</c:v>
                </c:pt>
                <c:pt idx="9">
                  <c:v>36526.1558559092</c:v>
                </c:pt>
                <c:pt idx="10">
                  <c:v>36526.16666609438</c:v>
                </c:pt>
                <c:pt idx="11">
                  <c:v>36526.19564262745</c:v>
                </c:pt>
                <c:pt idx="12">
                  <c:v>36526.20832781263</c:v>
                </c:pt>
                <c:pt idx="13">
                  <c:v>36526.23409694264</c:v>
                </c:pt>
                <c:pt idx="14">
                  <c:v>36526.24999972041</c:v>
                </c:pt>
                <c:pt idx="15">
                  <c:v>36526.27491646831</c:v>
                </c:pt>
                <c:pt idx="16">
                  <c:v>36526.2916641535</c:v>
                </c:pt>
                <c:pt idx="17">
                  <c:v>36526.31464375991</c:v>
                </c:pt>
                <c:pt idx="18">
                  <c:v>36526.33333588954</c:v>
                </c:pt>
                <c:pt idx="19">
                  <c:v>36526.35457451121</c:v>
                </c:pt>
                <c:pt idx="20">
                  <c:v>36526.37500275196</c:v>
                </c:pt>
                <c:pt idx="21">
                  <c:v>36526.39727221971</c:v>
                </c:pt>
                <c:pt idx="22">
                  <c:v>36526.41667036786</c:v>
                </c:pt>
                <c:pt idx="23">
                  <c:v>36526.44114684284</c:v>
                </c:pt>
                <c:pt idx="24">
                  <c:v>36526.45833434284</c:v>
                </c:pt>
                <c:pt idx="25">
                  <c:v>36526.48569225802</c:v>
                </c:pt>
                <c:pt idx="26">
                  <c:v>36526.49999781357</c:v>
                </c:pt>
                <c:pt idx="27">
                  <c:v>36526.52895104713</c:v>
                </c:pt>
                <c:pt idx="28">
                  <c:v>36526.54167095454</c:v>
                </c:pt>
                <c:pt idx="29">
                  <c:v>36526.57355907893</c:v>
                </c:pt>
                <c:pt idx="30">
                  <c:v>36526.58332759745</c:v>
                </c:pt>
                <c:pt idx="31">
                  <c:v>36526.61519974497</c:v>
                </c:pt>
                <c:pt idx="32">
                  <c:v>36526.62500298571</c:v>
                </c:pt>
                <c:pt idx="33">
                  <c:v>36526.65994748549</c:v>
                </c:pt>
                <c:pt idx="34">
                  <c:v>36526.66667202252</c:v>
                </c:pt>
                <c:pt idx="35">
                  <c:v>36526.70482184852</c:v>
                </c:pt>
                <c:pt idx="36">
                  <c:v>36526.70832879297</c:v>
                </c:pt>
                <c:pt idx="37">
                  <c:v>36526.74684557243</c:v>
                </c:pt>
                <c:pt idx="38">
                  <c:v>36526.75000529465</c:v>
                </c:pt>
                <c:pt idx="39">
                  <c:v>36526.78454333665</c:v>
                </c:pt>
                <c:pt idx="40">
                  <c:v>36526.79166139221</c:v>
                </c:pt>
                <c:pt idx="41">
                  <c:v>36526.82535103577</c:v>
                </c:pt>
                <c:pt idx="42">
                  <c:v>36526.83333714687</c:v>
                </c:pt>
                <c:pt idx="43">
                  <c:v>36526.86450400367</c:v>
                </c:pt>
                <c:pt idx="44">
                  <c:v>36526.87500168886</c:v>
                </c:pt>
                <c:pt idx="45">
                  <c:v>36526.90710259543</c:v>
                </c:pt>
                <c:pt idx="46">
                  <c:v>36526.91666278061</c:v>
                </c:pt>
                <c:pt idx="47">
                  <c:v>36526.94882841329</c:v>
                </c:pt>
                <c:pt idx="48">
                  <c:v>36526.9583307281</c:v>
                </c:pt>
                <c:pt idx="49">
                  <c:v>36526.98855413708</c:v>
                </c:pt>
                <c:pt idx="50">
                  <c:v>36527.00000089635</c:v>
                </c:pt>
                <c:pt idx="51">
                  <c:v>36527.02835038622</c:v>
                </c:pt>
                <c:pt idx="52">
                  <c:v>36527.04167214547</c:v>
                </c:pt>
                <c:pt idx="53">
                  <c:v>36527.0668842169</c:v>
                </c:pt>
                <c:pt idx="54">
                  <c:v>36527.08333097616</c:v>
                </c:pt>
                <c:pt idx="55">
                  <c:v>36527.1085430476</c:v>
                </c:pt>
                <c:pt idx="56">
                  <c:v>36527.12500138093</c:v>
                </c:pt>
                <c:pt idx="57">
                  <c:v>36527.15021345235</c:v>
                </c:pt>
                <c:pt idx="58">
                  <c:v>36527.16667178569</c:v>
                </c:pt>
                <c:pt idx="59">
                  <c:v>36527.19188385711</c:v>
                </c:pt>
                <c:pt idx="60">
                  <c:v>36527.20833061638</c:v>
                </c:pt>
                <c:pt idx="61">
                  <c:v>36527.23354268781</c:v>
                </c:pt>
                <c:pt idx="62">
                  <c:v>36527.25000102114</c:v>
                </c:pt>
                <c:pt idx="63">
                  <c:v>36527.27521309256</c:v>
                </c:pt>
                <c:pt idx="64">
                  <c:v>36527.2916714259</c:v>
                </c:pt>
              </c:numCache>
            </c:numRef>
          </c:xVal>
          <c:yVal>
            <c:numRef>
              <c:f>House!$E$9:$E$73</c:f>
              <c:numCache>
                <c:formatCode>0.00</c:formatCode>
                <c:ptCount val="65"/>
                <c:pt idx="0">
                  <c:v>70.0</c:v>
                </c:pt>
                <c:pt idx="1">
                  <c:v>-31618.72078485168</c:v>
                </c:pt>
                <c:pt idx="2">
                  <c:v>112.6779508436964</c:v>
                </c:pt>
                <c:pt idx="3">
                  <c:v>-12.8205960760495</c:v>
                </c:pt>
                <c:pt idx="4">
                  <c:v>111.0486803707479</c:v>
                </c:pt>
                <c:pt idx="5">
                  <c:v>-14.80645766327908</c:v>
                </c:pt>
                <c:pt idx="6">
                  <c:v>109.144489856729</c:v>
                </c:pt>
                <c:pt idx="7">
                  <c:v>-16.80620373285359</c:v>
                </c:pt>
                <c:pt idx="8">
                  <c:v>107.2349534965626</c:v>
                </c:pt>
                <c:pt idx="9">
                  <c:v>-18.80629564857553</c:v>
                </c:pt>
                <c:pt idx="10">
                  <c:v>105.3250964875783</c:v>
                </c:pt>
                <c:pt idx="11">
                  <c:v>-20.80615265755979</c:v>
                </c:pt>
                <c:pt idx="12">
                  <c:v>103.4153340116363</c:v>
                </c:pt>
                <c:pt idx="13">
                  <c:v>-22.50147068905735</c:v>
                </c:pt>
                <c:pt idx="14">
                  <c:v>102.4924304470952</c:v>
                </c:pt>
                <c:pt idx="15">
                  <c:v>-23.50159647582071</c:v>
                </c:pt>
                <c:pt idx="16">
                  <c:v>101.5127618309314</c:v>
                </c:pt>
                <c:pt idx="17">
                  <c:v>-24.09959842531779</c:v>
                </c:pt>
                <c:pt idx="18">
                  <c:v>101.5127618309314</c:v>
                </c:pt>
                <c:pt idx="19">
                  <c:v>-23.20237620309557</c:v>
                </c:pt>
                <c:pt idx="20">
                  <c:v>103.9391648135597</c:v>
                </c:pt>
                <c:pt idx="21">
                  <c:v>-20.20236210935614</c:v>
                </c:pt>
                <c:pt idx="22">
                  <c:v>107.0133998256785</c:v>
                </c:pt>
                <c:pt idx="23">
                  <c:v>-17.20229376390402</c:v>
                </c:pt>
                <c:pt idx="24">
                  <c:v>109.5849372915565</c:v>
                </c:pt>
                <c:pt idx="25">
                  <c:v>-15.20242296469277</c:v>
                </c:pt>
                <c:pt idx="26">
                  <c:v>111.723117219936</c:v>
                </c:pt>
                <c:pt idx="27">
                  <c:v>-13.20257636964654</c:v>
                </c:pt>
                <c:pt idx="28">
                  <c:v>113.7995390972784</c:v>
                </c:pt>
                <c:pt idx="29">
                  <c:v>-11.50754338119307</c:v>
                </c:pt>
                <c:pt idx="30">
                  <c:v>115.6354468458772</c:v>
                </c:pt>
                <c:pt idx="31">
                  <c:v>-9.508024521483129</c:v>
                </c:pt>
                <c:pt idx="32">
                  <c:v>117.6341988155753</c:v>
                </c:pt>
                <c:pt idx="33">
                  <c:v>-7.742883662896098</c:v>
                </c:pt>
                <c:pt idx="34">
                  <c:v>117.0308085986202</c:v>
                </c:pt>
                <c:pt idx="35">
                  <c:v>-8.742940546517928</c:v>
                </c:pt>
                <c:pt idx="36">
                  <c:v>115.038228061433</c:v>
                </c:pt>
                <c:pt idx="37">
                  <c:v>-10.74246552814964</c:v>
                </c:pt>
                <c:pt idx="38">
                  <c:v>113.021089314144</c:v>
                </c:pt>
                <c:pt idx="39">
                  <c:v>-12.6671042754385</c:v>
                </c:pt>
                <c:pt idx="40">
                  <c:v>112.1163429727168</c:v>
                </c:pt>
                <c:pt idx="41">
                  <c:v>-13.66685061686578</c:v>
                </c:pt>
                <c:pt idx="42">
                  <c:v>111.1369581939068</c:v>
                </c:pt>
                <c:pt idx="43">
                  <c:v>-14.47540206234237</c:v>
                </c:pt>
                <c:pt idx="44">
                  <c:v>110.3889536307813</c:v>
                </c:pt>
                <c:pt idx="45">
                  <c:v>-15.47535106991241</c:v>
                </c:pt>
                <c:pt idx="46">
                  <c:v>108.5961656712946</c:v>
                </c:pt>
                <c:pt idx="47">
                  <c:v>-17.47508347384348</c:v>
                </c:pt>
                <c:pt idx="48">
                  <c:v>106.5933264139885</c:v>
                </c:pt>
                <c:pt idx="49">
                  <c:v>-19.47514495337179</c:v>
                </c:pt>
                <c:pt idx="50">
                  <c:v>104.6864916716754</c:v>
                </c:pt>
                <c:pt idx="51">
                  <c:v>-21.47531302901826</c:v>
                </c:pt>
                <c:pt idx="52">
                  <c:v>104.137047227231</c:v>
                </c:pt>
                <c:pt idx="53">
                  <c:v>-21.47531302901826</c:v>
                </c:pt>
                <c:pt idx="54">
                  <c:v>104.137047227231</c:v>
                </c:pt>
                <c:pt idx="55">
                  <c:v>-21.47531302901826</c:v>
                </c:pt>
                <c:pt idx="56">
                  <c:v>104.137047227231</c:v>
                </c:pt>
                <c:pt idx="57">
                  <c:v>-21.47531302901826</c:v>
                </c:pt>
                <c:pt idx="58">
                  <c:v>104.137047227231</c:v>
                </c:pt>
                <c:pt idx="59">
                  <c:v>-21.47531302901826</c:v>
                </c:pt>
                <c:pt idx="60">
                  <c:v>104.137047227231</c:v>
                </c:pt>
                <c:pt idx="61">
                  <c:v>-21.47531302901826</c:v>
                </c:pt>
                <c:pt idx="62">
                  <c:v>104.137047227231</c:v>
                </c:pt>
                <c:pt idx="63">
                  <c:v>-21.47531302901826</c:v>
                </c:pt>
                <c:pt idx="64">
                  <c:v>104.137047227231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583192"/>
        <c:axId val="2084580104"/>
      </c:scatterChart>
      <c:valAx>
        <c:axId val="2084583192"/>
        <c:scaling>
          <c:orientation val="minMax"/>
        </c:scaling>
        <c:delete val="0"/>
        <c:axPos val="b"/>
        <c:numFmt formatCode="m/d/yy\ h:mm" sourceLinked="1"/>
        <c:majorTickMark val="out"/>
        <c:minorTickMark val="none"/>
        <c:tickLblPos val="nextTo"/>
        <c:crossAx val="2084580104"/>
        <c:crosses val="autoZero"/>
        <c:crossBetween val="midCat"/>
      </c:valAx>
      <c:valAx>
        <c:axId val="2084580104"/>
        <c:scaling>
          <c:orientation val="minMax"/>
          <c:max val="85.0"/>
          <c:min val="35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45831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173564</xdr:colOff>
      <xdr:row>26</xdr:row>
      <xdr:rowOff>67735</xdr:rowOff>
    </xdr:from>
    <xdr:to>
      <xdr:col>24</xdr:col>
      <xdr:colOff>965199</xdr:colOff>
      <xdr:row>51</xdr:row>
      <xdr:rowOff>42333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3"/>
  <sheetViews>
    <sheetView tabSelected="1" zoomScale="150" zoomScaleNormal="150" zoomScalePageLayoutView="150" workbookViewId="0">
      <pane ySplit="8" topLeftCell="A9" activePane="bottomLeft" state="frozenSplit"/>
      <selection sqref="A1:XFD8"/>
      <selection pane="bottomLeft" activeCell="G6" sqref="G6"/>
    </sheetView>
  </sheetViews>
  <sheetFormatPr baseColWidth="10" defaultRowHeight="15" x14ac:dyDescent="0"/>
  <cols>
    <col min="1" max="1" width="11.83203125" style="8" bestFit="1" customWidth="1"/>
    <col min="2" max="2" width="9.83203125" style="8" customWidth="1"/>
    <col min="3" max="15" width="10.83203125" style="8"/>
    <col min="16" max="16" width="11.1640625" style="8" bestFit="1" customWidth="1"/>
    <col min="17" max="22" width="10.83203125" style="13"/>
    <col min="23" max="23" width="10.83203125" style="8"/>
    <col min="24" max="24" width="12.83203125" style="8" bestFit="1" customWidth="1"/>
    <col min="25" max="25" width="12.83203125" style="8" customWidth="1"/>
    <col min="26" max="26" width="10.83203125" style="8"/>
    <col min="27" max="16384" width="10.83203125" style="13"/>
  </cols>
  <sheetData>
    <row r="1" spans="1:26" s="6" customFormat="1" ht="16" thickBot="1">
      <c r="A1" s="37" t="s">
        <v>0</v>
      </c>
      <c r="B1" s="37"/>
      <c r="C1" s="5"/>
      <c r="D1" s="35" t="s">
        <v>3</v>
      </c>
      <c r="E1" s="35"/>
      <c r="F1" s="35"/>
      <c r="G1" s="35"/>
      <c r="H1" s="5"/>
      <c r="I1" s="35" t="s">
        <v>12</v>
      </c>
      <c r="J1" s="35"/>
      <c r="K1" s="35"/>
      <c r="L1" s="35"/>
      <c r="M1" s="5"/>
      <c r="N1" s="36" t="s">
        <v>27</v>
      </c>
      <c r="O1" s="36"/>
      <c r="P1" s="36"/>
      <c r="Q1" s="23" t="s">
        <v>46</v>
      </c>
      <c r="R1" s="32">
        <f>(b-rb2_4ac)/(2*a)</f>
        <v>9.6064042322001927E-2</v>
      </c>
      <c r="W1" s="5"/>
      <c r="X1" s="5"/>
      <c r="Y1" s="21"/>
      <c r="Z1" s="5"/>
    </row>
    <row r="2" spans="1:26">
      <c r="A2" s="7" t="s">
        <v>35</v>
      </c>
      <c r="B2" s="7" t="s">
        <v>40</v>
      </c>
      <c r="D2" s="9" t="s">
        <v>4</v>
      </c>
      <c r="E2" s="10" t="s">
        <v>5</v>
      </c>
      <c r="F2" s="10" t="s">
        <v>10</v>
      </c>
      <c r="G2" s="11" t="s">
        <v>11</v>
      </c>
      <c r="I2" s="9" t="s">
        <v>13</v>
      </c>
      <c r="J2" s="10" t="s">
        <v>16</v>
      </c>
      <c r="K2" s="10" t="s">
        <v>15</v>
      </c>
      <c r="L2" s="11" t="s">
        <v>17</v>
      </c>
      <c r="N2" s="12" t="s">
        <v>18</v>
      </c>
      <c r="O2" s="12" t="s">
        <v>19</v>
      </c>
      <c r="P2" s="12" t="s">
        <v>20</v>
      </c>
      <c r="Q2" s="23" t="s">
        <v>47</v>
      </c>
      <c r="R2" s="32">
        <f>(b+rb2_4ac)/(2*a)</f>
        <v>8.639208999397427</v>
      </c>
    </row>
    <row r="3" spans="1:26" ht="16" thickBot="1">
      <c r="A3" s="7" t="s">
        <v>41</v>
      </c>
      <c r="B3" s="7">
        <v>4159</v>
      </c>
      <c r="D3" s="14">
        <v>573.19200000000001</v>
      </c>
      <c r="E3" s="15">
        <v>9138.92</v>
      </c>
      <c r="F3" s="16">
        <v>1470</v>
      </c>
      <c r="G3" s="17">
        <v>4293.8100000000004</v>
      </c>
      <c r="I3" s="14">
        <v>36000</v>
      </c>
      <c r="J3" s="16">
        <v>75</v>
      </c>
      <c r="K3" s="16">
        <v>70</v>
      </c>
      <c r="L3" s="17">
        <v>0.5</v>
      </c>
      <c r="N3" s="4">
        <f>CM*CA/HM</f>
        <v>690.66155519470578</v>
      </c>
      <c r="O3" s="4">
        <f>CM*UA/HM+CM+CA</f>
        <v>6033.1172640443292</v>
      </c>
      <c r="P3" s="4">
        <f>UA</f>
        <v>573.19200000000001</v>
      </c>
      <c r="Q3" s="23" t="s">
        <v>48</v>
      </c>
      <c r="R3" s="34">
        <f>SQRT(b^2-4*a*c_)</f>
        <v>5900.4217823075214</v>
      </c>
    </row>
    <row r="4" spans="1:26">
      <c r="A4" s="7" t="s">
        <v>36</v>
      </c>
      <c r="B4" s="7" t="s">
        <v>39</v>
      </c>
      <c r="D4" s="18"/>
      <c r="E4" s="18"/>
      <c r="F4" s="18"/>
      <c r="G4" s="18"/>
      <c r="I4" s="18"/>
      <c r="J4" s="18"/>
      <c r="K4" s="18"/>
      <c r="L4" s="18"/>
    </row>
    <row r="5" spans="1:26">
      <c r="A5" s="7" t="s">
        <v>37</v>
      </c>
      <c r="B5" s="7" t="s">
        <v>38</v>
      </c>
      <c r="D5" s="18"/>
      <c r="E5" s="18"/>
      <c r="F5" s="18"/>
      <c r="G5" s="18"/>
      <c r="I5" s="18"/>
      <c r="J5" s="18"/>
      <c r="K5" s="18"/>
      <c r="L5" s="18"/>
    </row>
    <row r="6" spans="1:26">
      <c r="A6" s="38" t="s">
        <v>52</v>
      </c>
    </row>
    <row r="7" spans="1:26" s="6" customFormat="1">
      <c r="A7" s="5"/>
      <c r="B7" s="36" t="s">
        <v>2</v>
      </c>
      <c r="C7" s="36"/>
      <c r="D7" s="36"/>
      <c r="E7" s="36"/>
      <c r="F7" s="36"/>
      <c r="G7" s="5" t="s">
        <v>26</v>
      </c>
      <c r="H7" s="36" t="s">
        <v>28</v>
      </c>
      <c r="I7" s="36"/>
      <c r="J7" s="36"/>
      <c r="K7" s="36"/>
      <c r="L7" s="36"/>
      <c r="M7" s="36"/>
      <c r="N7" s="36"/>
      <c r="O7" s="36"/>
      <c r="P7" s="36"/>
      <c r="Q7" s="5"/>
      <c r="W7" s="5"/>
      <c r="X7" s="5"/>
      <c r="Y7" s="21"/>
      <c r="Z7" s="5"/>
    </row>
    <row r="8" spans="1:26" s="25" customFormat="1">
      <c r="A8" s="22" t="s">
        <v>1</v>
      </c>
      <c r="B8" s="22" t="s">
        <v>8</v>
      </c>
      <c r="C8" s="22" t="s">
        <v>42</v>
      </c>
      <c r="D8" s="22" t="s">
        <v>6</v>
      </c>
      <c r="E8" s="22" t="s">
        <v>7</v>
      </c>
      <c r="F8" s="22" t="s">
        <v>29</v>
      </c>
      <c r="G8" s="22" t="s">
        <v>25</v>
      </c>
      <c r="H8" s="22" t="s">
        <v>30</v>
      </c>
      <c r="I8" s="22" t="s">
        <v>31</v>
      </c>
      <c r="J8" s="22" t="s">
        <v>32</v>
      </c>
      <c r="K8" s="22" t="s">
        <v>33</v>
      </c>
      <c r="L8" s="22" t="s">
        <v>34</v>
      </c>
      <c r="M8" s="22" t="s">
        <v>45</v>
      </c>
      <c r="N8" s="22" t="s">
        <v>44</v>
      </c>
      <c r="O8" s="22" t="s">
        <v>43</v>
      </c>
      <c r="P8" s="22" t="s">
        <v>21</v>
      </c>
      <c r="Q8" s="22" t="s">
        <v>22</v>
      </c>
      <c r="R8" s="22" t="s">
        <v>23</v>
      </c>
      <c r="S8" s="22" t="s">
        <v>24</v>
      </c>
      <c r="T8" s="22" t="s">
        <v>14</v>
      </c>
      <c r="U8" s="22" t="s">
        <v>49</v>
      </c>
      <c r="V8" s="22" t="s">
        <v>50</v>
      </c>
      <c r="W8" s="22" t="s">
        <v>51</v>
      </c>
      <c r="X8" s="24"/>
    </row>
    <row r="9" spans="1:26" s="29" customFormat="1">
      <c r="A9" s="26">
        <v>36526</v>
      </c>
      <c r="B9" s="28">
        <f>VLOOKUP(A9,weather,2)</f>
        <v>50</v>
      </c>
      <c r="C9" s="28">
        <f t="shared" ref="C9:C40" si="0">VLOOKUP(A9,weather,3)</f>
        <v>48</v>
      </c>
      <c r="D9" s="28">
        <f>TH</f>
        <v>70</v>
      </c>
      <c r="E9" s="28">
        <f>TH</f>
        <v>70</v>
      </c>
      <c r="F9" s="27">
        <f t="shared" ref="F9:F40" si="1">C9-VLOOKUP(A9,weather,2)</f>
        <v>-2</v>
      </c>
      <c r="G9" s="27">
        <v>0</v>
      </c>
      <c r="H9" s="33">
        <f t="shared" ref="H9" si="2">G9*QH</f>
        <v>0</v>
      </c>
      <c r="I9" s="33">
        <v>0</v>
      </c>
      <c r="J9" s="33">
        <f>K9+L9</f>
        <v>28120.985471911339</v>
      </c>
      <c r="K9" s="33">
        <f t="shared" ref="K9:K40" si="3">UA*B9 + M9*CM/HM</f>
        <v>28120.985471911339</v>
      </c>
      <c r="L9" s="33">
        <f>H9+I9</f>
        <v>0</v>
      </c>
      <c r="M9" s="33">
        <f t="shared" ref="M9:M40" si="4">UA*(C9-VLOOKUP(A9,weather,2))</f>
        <v>-1146.384</v>
      </c>
      <c r="N9" s="33">
        <f>IF(ISNUMBER(L8),L9-L8,L9)</f>
        <v>0</v>
      </c>
      <c r="O9" s="30">
        <f t="shared" ref="O9:O40" si="5">HM/CA*E9+UA/CA*B9+H9/CA-(UA+HM)/CA*D9</f>
        <v>-7.7985306122449742</v>
      </c>
      <c r="P9" s="27">
        <f>(a*(B9-J9/c_)-a/c_*N9+a*b/c_^2*M9)</f>
        <v>-13890.08213110719</v>
      </c>
      <c r="Q9" s="27">
        <f>(b*(D9-J9/c_)+a*O9+CM/HM-b/c_*N9+(b^2/c_^2-a/c_)*M9)</f>
        <v>-4675.6670389473875</v>
      </c>
      <c r="R9" s="27">
        <f>N9/c_-b/c_^2*M9</f>
        <v>21.05094720109258</v>
      </c>
      <c r="S9" s="27">
        <f>M9/c_</f>
        <v>-2</v>
      </c>
      <c r="T9" s="27">
        <f t="shared" ref="T9:T40" si="6">IF(G9=0,IF(O9&gt;0,TC+DB,TH-DB),IF(G9&gt;0,TH+DB,TC-DB))</f>
        <v>69.5</v>
      </c>
      <c r="U9" s="28">
        <f t="shared" ref="U9:U40" si="7">MIN((T9-D9)/O9,1-MINUTE(A9)/60-SECOND(A9)/3600)</f>
        <v>6.4114642214126577E-2</v>
      </c>
      <c r="V9" s="30">
        <f>(P9*p-Q9)/(p-q)*EXP(-p*U9)-(P9*q-Q9)/(p-q)*EXP(-q*U9)+R9+S9*U9+J9/c_</f>
        <v>-8076.642527839972</v>
      </c>
      <c r="W9" s="30">
        <f xml:space="preserve"> ((UA+HM)/HM+p*CA/CM)*(P9*p-Q9)/(p-q)*EXP(-p*U9) - ((UA+HM)/HM+q*CA/CM)*(P9*q-Q9)/(p-q)*EXP(-q*U9) - (J9+N9+M9*U9)/HM</f>
        <v>-31618.720784851677</v>
      </c>
      <c r="X9" s="24"/>
    </row>
    <row r="10" spans="1:26">
      <c r="A10" s="19">
        <f t="shared" ref="A10:A41" si="8">A9+U9/24</f>
        <v>36526.002671443428</v>
      </c>
      <c r="B10" s="20">
        <f t="shared" ref="B10:B41" si="9">B9+U9*F9</f>
        <v>49.871770715571749</v>
      </c>
      <c r="C10" s="20">
        <f t="shared" si="0"/>
        <v>48</v>
      </c>
      <c r="D10" s="31">
        <f>V9</f>
        <v>-8076.642527839972</v>
      </c>
      <c r="E10" s="31">
        <f>W9</f>
        <v>-31618.720784851677</v>
      </c>
      <c r="F10" s="4">
        <f t="shared" si="1"/>
        <v>-2</v>
      </c>
      <c r="G10" s="4">
        <f t="shared" ref="G10:G41" si="10">IF(D10&lt;=TH-DB,1,IF(D10&gt;TC+DB,-1,0))</f>
        <v>1</v>
      </c>
      <c r="H10" s="33">
        <f t="shared" ref="H10:H73" si="11">G10*QH</f>
        <v>36000</v>
      </c>
      <c r="I10" s="33">
        <v>0</v>
      </c>
      <c r="J10" s="33">
        <f>K10+L10</f>
        <v>64047.485471911343</v>
      </c>
      <c r="K10" s="33">
        <f t="shared" si="3"/>
        <v>28047.485471911343</v>
      </c>
      <c r="L10" s="33">
        <f>H10+I10</f>
        <v>36000</v>
      </c>
      <c r="M10" s="33">
        <f t="shared" si="4"/>
        <v>-1146.384</v>
      </c>
      <c r="N10" s="33">
        <f>IF(ISNUMBER(L9),L10-L9,L10)</f>
        <v>36000</v>
      </c>
      <c r="O10" s="30">
        <f t="shared" si="5"/>
        <v>-143166.74615017124</v>
      </c>
      <c r="P10" s="27"/>
      <c r="Q10" s="27"/>
      <c r="R10" s="27"/>
      <c r="S10" s="27"/>
      <c r="T10" s="4">
        <f t="shared" si="6"/>
        <v>70.5</v>
      </c>
      <c r="U10" s="20">
        <f t="shared" si="7"/>
        <v>-5.6906668251677853E-2</v>
      </c>
      <c r="V10" s="30">
        <f t="shared" ref="V10:V41" si="12">P10*EXP(p*U10)+Q10*EXP(q*U10)+J10/c_</f>
        <v>111.73827525839744</v>
      </c>
      <c r="W10" s="30">
        <f t="shared" ref="W10:W40" si="13">P10*(CA/HM*p+UA/HM+1)*EXP(p*U10)+Q10*(CA/HM*q+UA/HM+1)*EXP(q*U10)+I10/HM+I10/UA+H10/UA+B10</f>
        <v>112.67795084369635</v>
      </c>
      <c r="Y10" s="13"/>
      <c r="Z10" s="13"/>
    </row>
    <row r="11" spans="1:26">
      <c r="A11" s="19">
        <f t="shared" si="8"/>
        <v>36526.000300332249</v>
      </c>
      <c r="B11" s="20">
        <f t="shared" si="9"/>
        <v>49.985584052075104</v>
      </c>
      <c r="C11" s="20">
        <f t="shared" si="0"/>
        <v>48</v>
      </c>
      <c r="D11" s="31">
        <f t="shared" ref="D11:D73" si="14">V10</f>
        <v>111.73827525839744</v>
      </c>
      <c r="E11" s="31">
        <f t="shared" ref="E11:E73" si="15">W10</f>
        <v>112.67795084369635</v>
      </c>
      <c r="F11" s="4">
        <f t="shared" si="1"/>
        <v>-2</v>
      </c>
      <c r="G11" s="4">
        <f t="shared" si="10"/>
        <v>-1</v>
      </c>
      <c r="H11" s="33">
        <f t="shared" si="11"/>
        <v>-36000</v>
      </c>
      <c r="I11" s="33">
        <v>0</v>
      </c>
      <c r="J11" s="33">
        <f>K11+L11</f>
        <v>-7887.277634111626</v>
      </c>
      <c r="K11" s="33">
        <f t="shared" si="3"/>
        <v>28112.722365888374</v>
      </c>
      <c r="L11" s="33">
        <f>H11+I11</f>
        <v>-36000</v>
      </c>
      <c r="M11" s="33">
        <f t="shared" si="4"/>
        <v>-1146.384</v>
      </c>
      <c r="N11" s="33">
        <f>IF(ISNUMBER(L10),L11-L10,L11)</f>
        <v>-72000</v>
      </c>
      <c r="O11" s="30">
        <f t="shared" si="5"/>
        <v>-42.726890189071014</v>
      </c>
      <c r="P11" s="27"/>
      <c r="Q11" s="27"/>
      <c r="R11" s="27"/>
      <c r="S11" s="27"/>
      <c r="T11" s="4">
        <f t="shared" si="6"/>
        <v>74.5</v>
      </c>
      <c r="U11" s="20">
        <f t="shared" si="7"/>
        <v>0.87154190472590265</v>
      </c>
      <c r="V11" s="30">
        <f t="shared" si="12"/>
        <v>-13.760271661348424</v>
      </c>
      <c r="W11" s="30">
        <f t="shared" si="13"/>
        <v>-12.820596076049505</v>
      </c>
      <c r="Y11" s="13"/>
      <c r="Z11" s="13"/>
    </row>
    <row r="12" spans="1:26">
      <c r="A12" s="19">
        <f t="shared" si="8"/>
        <v>36526.036614578283</v>
      </c>
      <c r="B12" s="20">
        <f t="shared" si="9"/>
        <v>48.242500242623301</v>
      </c>
      <c r="C12" s="20">
        <f t="shared" si="0"/>
        <v>48</v>
      </c>
      <c r="D12" s="31">
        <f t="shared" si="14"/>
        <v>-13.760271661348424</v>
      </c>
      <c r="E12" s="31">
        <f t="shared" si="15"/>
        <v>-12.820596076049505</v>
      </c>
      <c r="F12" s="4">
        <f t="shared" si="1"/>
        <v>-2</v>
      </c>
      <c r="G12" s="4">
        <f t="shared" si="10"/>
        <v>1</v>
      </c>
      <c r="H12" s="33">
        <f t="shared" si="11"/>
        <v>36000</v>
      </c>
      <c r="I12" s="33">
        <v>0</v>
      </c>
      <c r="J12" s="33">
        <f>K12+L12</f>
        <v>63113.600670981075</v>
      </c>
      <c r="K12" s="33">
        <f t="shared" si="3"/>
        <v>27113.600670981075</v>
      </c>
      <c r="L12" s="33">
        <f>H12+I12</f>
        <v>36000</v>
      </c>
      <c r="M12" s="33">
        <f t="shared" si="4"/>
        <v>-1146.384</v>
      </c>
      <c r="N12" s="33">
        <f>IF(ISNUMBER(L11),L12-L11,L12)</f>
        <v>72000</v>
      </c>
      <c r="O12" s="30">
        <f t="shared" si="5"/>
        <v>54.508240022572352</v>
      </c>
      <c r="P12" s="27"/>
      <c r="Q12" s="27"/>
      <c r="R12" s="27"/>
      <c r="S12" s="27"/>
      <c r="T12" s="4">
        <f t="shared" si="6"/>
        <v>70.5</v>
      </c>
      <c r="U12" s="20">
        <f t="shared" si="7"/>
        <v>0.12138888888888885</v>
      </c>
      <c r="V12" s="30">
        <f t="shared" si="12"/>
        <v>110.10900478544899</v>
      </c>
      <c r="W12" s="30">
        <f t="shared" si="13"/>
        <v>111.04868037074792</v>
      </c>
      <c r="Y12" s="13"/>
      <c r="Z12" s="13"/>
    </row>
    <row r="13" spans="1:26">
      <c r="A13" s="19">
        <f t="shared" si="8"/>
        <v>36526.041672448657</v>
      </c>
      <c r="B13" s="20">
        <f t="shared" si="9"/>
        <v>47.999722464845526</v>
      </c>
      <c r="C13" s="20">
        <f t="shared" si="0"/>
        <v>46</v>
      </c>
      <c r="D13" s="31">
        <f t="shared" si="14"/>
        <v>110.10900478544899</v>
      </c>
      <c r="E13" s="31">
        <f t="shared" si="15"/>
        <v>111.04868037074792</v>
      </c>
      <c r="F13" s="4">
        <f t="shared" si="1"/>
        <v>-2</v>
      </c>
      <c r="G13" s="4">
        <f t="shared" si="10"/>
        <v>-1</v>
      </c>
      <c r="H13" s="33">
        <f t="shared" si="11"/>
        <v>-36000</v>
      </c>
      <c r="I13" s="33">
        <v>0</v>
      </c>
      <c r="J13" s="33">
        <f>K13+L13</f>
        <v>-9025.5576090189206</v>
      </c>
      <c r="K13" s="33">
        <f t="shared" si="3"/>
        <v>26974.442390981079</v>
      </c>
      <c r="L13" s="33">
        <f>H13+I13</f>
        <v>-36000</v>
      </c>
      <c r="M13" s="33">
        <f t="shared" si="4"/>
        <v>-1146.384</v>
      </c>
      <c r="N13" s="33">
        <f>IF(ISNUMBER(L12),L13-L12,L13)</f>
        <v>-72000</v>
      </c>
      <c r="O13" s="30">
        <f t="shared" si="5"/>
        <v>-42.865934525109878</v>
      </c>
      <c r="P13" s="27"/>
      <c r="Q13" s="27"/>
      <c r="R13" s="27"/>
      <c r="S13" s="27"/>
      <c r="T13" s="4">
        <f t="shared" si="6"/>
        <v>74.5</v>
      </c>
      <c r="U13" s="20">
        <f t="shared" si="7"/>
        <v>0.83070636812058896</v>
      </c>
      <c r="V13" s="30">
        <f t="shared" si="12"/>
        <v>-15.746133248577999</v>
      </c>
      <c r="W13" s="30">
        <f t="shared" si="13"/>
        <v>-14.806457663279083</v>
      </c>
      <c r="Y13" s="13"/>
      <c r="Z13" s="13"/>
    </row>
    <row r="14" spans="1:26">
      <c r="A14" s="19">
        <f t="shared" si="8"/>
        <v>36526.076285213996</v>
      </c>
      <c r="B14" s="20">
        <f t="shared" si="9"/>
        <v>46.338309728604351</v>
      </c>
      <c r="C14" s="20">
        <f t="shared" si="0"/>
        <v>46</v>
      </c>
      <c r="D14" s="31">
        <f t="shared" si="14"/>
        <v>-15.746133248577999</v>
      </c>
      <c r="E14" s="31">
        <f t="shared" si="15"/>
        <v>-14.806457663279083</v>
      </c>
      <c r="F14" s="4">
        <f t="shared" si="1"/>
        <v>-2</v>
      </c>
      <c r="G14" s="4">
        <f t="shared" si="10"/>
        <v>1</v>
      </c>
      <c r="H14" s="33">
        <f t="shared" si="11"/>
        <v>36000</v>
      </c>
      <c r="I14" s="33">
        <v>0</v>
      </c>
      <c r="J14" s="33">
        <f t="shared" ref="J14:J73" si="16">K14+L14</f>
        <v>62022.133901869529</v>
      </c>
      <c r="K14" s="33">
        <f t="shared" si="3"/>
        <v>26022.133901869525</v>
      </c>
      <c r="L14" s="33">
        <f t="shared" ref="L14:L73" si="17">H14+I14</f>
        <v>36000</v>
      </c>
      <c r="M14" s="33">
        <f t="shared" si="4"/>
        <v>-1146.384</v>
      </c>
      <c r="N14" s="33">
        <f t="shared" ref="N14:N73" si="18">IF(ISNUMBER(L13),L14-L13,L14)</f>
        <v>72000</v>
      </c>
      <c r="O14" s="30">
        <f t="shared" si="5"/>
        <v>54.540085740800748</v>
      </c>
      <c r="P14" s="27"/>
      <c r="Q14" s="27"/>
      <c r="R14" s="27"/>
      <c r="S14" s="27"/>
      <c r="T14" s="4">
        <f t="shared" si="6"/>
        <v>70.5</v>
      </c>
      <c r="U14" s="20">
        <f t="shared" si="7"/>
        <v>0.16916666666666669</v>
      </c>
      <c r="V14" s="30">
        <f t="shared" si="12"/>
        <v>108.20481427143004</v>
      </c>
      <c r="W14" s="30">
        <f t="shared" si="13"/>
        <v>109.14448985672897</v>
      </c>
      <c r="Y14" s="13"/>
      <c r="Z14" s="13"/>
    </row>
    <row r="15" spans="1:26">
      <c r="A15" s="19">
        <f t="shared" si="8"/>
        <v>36526.08333382511</v>
      </c>
      <c r="B15" s="20">
        <f t="shared" si="9"/>
        <v>45.99997639527102</v>
      </c>
      <c r="C15" s="20">
        <f t="shared" si="0"/>
        <v>44</v>
      </c>
      <c r="D15" s="31">
        <f t="shared" si="14"/>
        <v>108.20481427143004</v>
      </c>
      <c r="E15" s="31">
        <f t="shared" si="15"/>
        <v>109.14448985672897</v>
      </c>
      <c r="F15" s="4">
        <f t="shared" si="1"/>
        <v>-2</v>
      </c>
      <c r="G15" s="4">
        <f t="shared" si="10"/>
        <v>-1</v>
      </c>
      <c r="H15" s="33">
        <f t="shared" si="11"/>
        <v>-36000</v>
      </c>
      <c r="I15" s="33">
        <v>0</v>
      </c>
      <c r="J15" s="33">
        <f t="shared" si="16"/>
        <v>-10171.796058130472</v>
      </c>
      <c r="K15" s="33">
        <f t="shared" si="3"/>
        <v>25828.203941869528</v>
      </c>
      <c r="L15" s="33">
        <f t="shared" si="17"/>
        <v>-36000</v>
      </c>
      <c r="M15" s="33">
        <f t="shared" si="4"/>
        <v>-1146.384</v>
      </c>
      <c r="N15" s="33">
        <f t="shared" si="18"/>
        <v>-72000</v>
      </c>
      <c r="O15" s="30">
        <f t="shared" si="5"/>
        <v>-42.903194171368341</v>
      </c>
      <c r="P15" s="27"/>
      <c r="Q15" s="27"/>
      <c r="R15" s="27"/>
      <c r="S15" s="27"/>
      <c r="T15" s="4">
        <f t="shared" si="6"/>
        <v>74.5</v>
      </c>
      <c r="U15" s="20">
        <f t="shared" si="7"/>
        <v>0.78560151341652584</v>
      </c>
      <c r="V15" s="30">
        <f t="shared" si="12"/>
        <v>-17.745879318152507</v>
      </c>
      <c r="W15" s="30">
        <f t="shared" si="13"/>
        <v>-16.806203732853589</v>
      </c>
      <c r="Y15" s="13"/>
      <c r="Z15" s="13"/>
    </row>
    <row r="16" spans="1:26">
      <c r="A16" s="19">
        <f t="shared" si="8"/>
        <v>36526.116067221505</v>
      </c>
      <c r="B16" s="20">
        <f t="shared" si="9"/>
        <v>44.428773368437966</v>
      </c>
      <c r="C16" s="20">
        <f t="shared" si="0"/>
        <v>44</v>
      </c>
      <c r="D16" s="31">
        <f t="shared" si="14"/>
        <v>-17.745879318152507</v>
      </c>
      <c r="E16" s="31">
        <f t="shared" si="15"/>
        <v>-16.806203732853589</v>
      </c>
      <c r="F16" s="4">
        <f t="shared" si="1"/>
        <v>-2</v>
      </c>
      <c r="G16" s="4">
        <f t="shared" si="10"/>
        <v>1</v>
      </c>
      <c r="H16" s="33">
        <f t="shared" si="11"/>
        <v>36000</v>
      </c>
      <c r="I16" s="33">
        <v>0</v>
      </c>
      <c r="J16" s="33">
        <f t="shared" si="16"/>
        <v>60927.602936513038</v>
      </c>
      <c r="K16" s="33">
        <f t="shared" si="3"/>
        <v>24927.602936513034</v>
      </c>
      <c r="L16" s="33">
        <f t="shared" si="17"/>
        <v>36000</v>
      </c>
      <c r="M16" s="33">
        <f t="shared" si="4"/>
        <v>-1146.384</v>
      </c>
      <c r="N16" s="33">
        <f t="shared" si="18"/>
        <v>72000</v>
      </c>
      <c r="O16" s="30">
        <f t="shared" si="5"/>
        <v>54.575260899817806</v>
      </c>
      <c r="P16" s="27"/>
      <c r="Q16" s="27"/>
      <c r="R16" s="27"/>
      <c r="S16" s="27"/>
      <c r="T16" s="4">
        <f t="shared" si="6"/>
        <v>70.5</v>
      </c>
      <c r="U16" s="20">
        <f t="shared" si="7"/>
        <v>0.21444444444444447</v>
      </c>
      <c r="V16" s="30">
        <f t="shared" si="12"/>
        <v>106.29527791126365</v>
      </c>
      <c r="W16" s="30">
        <f t="shared" si="13"/>
        <v>107.23495349656258</v>
      </c>
      <c r="Y16" s="13"/>
      <c r="Z16" s="13"/>
    </row>
    <row r="17" spans="1:26">
      <c r="A17" s="19">
        <f t="shared" si="8"/>
        <v>36526.12500240669</v>
      </c>
      <c r="B17" s="20">
        <f t="shared" si="9"/>
        <v>43.999884479549074</v>
      </c>
      <c r="C17" s="20">
        <f t="shared" si="0"/>
        <v>42</v>
      </c>
      <c r="D17" s="31">
        <f t="shared" si="14"/>
        <v>106.29527791126365</v>
      </c>
      <c r="E17" s="31">
        <f t="shared" si="15"/>
        <v>107.23495349656258</v>
      </c>
      <c r="F17" s="4">
        <f t="shared" si="1"/>
        <v>-2</v>
      </c>
      <c r="G17" s="4">
        <f t="shared" si="10"/>
        <v>-1</v>
      </c>
      <c r="H17" s="33">
        <f t="shared" si="11"/>
        <v>-36000</v>
      </c>
      <c r="I17" s="33">
        <v>0</v>
      </c>
      <c r="J17" s="33">
        <f t="shared" si="16"/>
        <v>-11318.232743486966</v>
      </c>
      <c r="K17" s="33">
        <f t="shared" si="3"/>
        <v>24681.767256513034</v>
      </c>
      <c r="L17" s="33">
        <f t="shared" si="17"/>
        <v>-36000</v>
      </c>
      <c r="M17" s="33">
        <f t="shared" si="4"/>
        <v>-1146.384</v>
      </c>
      <c r="N17" s="33">
        <f t="shared" si="18"/>
        <v>-72000</v>
      </c>
      <c r="O17" s="30">
        <f t="shared" si="5"/>
        <v>-42.938504184973681</v>
      </c>
      <c r="P17" s="27"/>
      <c r="Q17" s="27"/>
      <c r="R17" s="27"/>
      <c r="S17" s="27"/>
      <c r="T17" s="4">
        <f t="shared" si="6"/>
        <v>74.5</v>
      </c>
      <c r="U17" s="20">
        <f t="shared" si="7"/>
        <v>0.74048406004768097</v>
      </c>
      <c r="V17" s="30">
        <f t="shared" si="12"/>
        <v>-19.745971233874453</v>
      </c>
      <c r="W17" s="30">
        <f t="shared" si="13"/>
        <v>-18.806295648575535</v>
      </c>
      <c r="Y17" s="13"/>
      <c r="Z17" s="13"/>
    </row>
    <row r="18" spans="1:26">
      <c r="A18" s="19">
        <f t="shared" si="8"/>
        <v>36526.155855909194</v>
      </c>
      <c r="B18" s="20">
        <f t="shared" si="9"/>
        <v>42.518916359453712</v>
      </c>
      <c r="C18" s="20">
        <f t="shared" si="0"/>
        <v>42</v>
      </c>
      <c r="D18" s="31">
        <f t="shared" si="14"/>
        <v>-19.745971233874453</v>
      </c>
      <c r="E18" s="31">
        <f t="shared" si="15"/>
        <v>-18.806295648575535</v>
      </c>
      <c r="F18" s="4">
        <f t="shared" si="1"/>
        <v>-2</v>
      </c>
      <c r="G18" s="4">
        <f t="shared" si="10"/>
        <v>1</v>
      </c>
      <c r="H18" s="33">
        <f t="shared" si="11"/>
        <v>36000</v>
      </c>
      <c r="I18" s="33">
        <v>0</v>
      </c>
      <c r="J18" s="33">
        <f t="shared" si="16"/>
        <v>59832.888177819332</v>
      </c>
      <c r="K18" s="33">
        <f t="shared" si="3"/>
        <v>23832.888177819332</v>
      </c>
      <c r="L18" s="33">
        <f t="shared" si="17"/>
        <v>36000</v>
      </c>
      <c r="M18" s="33">
        <f t="shared" si="4"/>
        <v>-1146.384</v>
      </c>
      <c r="N18" s="33">
        <f t="shared" si="18"/>
        <v>72000</v>
      </c>
      <c r="O18" s="30">
        <f t="shared" si="5"/>
        <v>54.610445883942162</v>
      </c>
      <c r="P18" s="27"/>
      <c r="Q18" s="27"/>
      <c r="R18" s="27"/>
      <c r="S18" s="27"/>
      <c r="T18" s="4">
        <f t="shared" si="6"/>
        <v>70.5</v>
      </c>
      <c r="U18" s="20">
        <f t="shared" si="7"/>
        <v>0.25944444444444448</v>
      </c>
      <c r="V18" s="30">
        <f t="shared" si="12"/>
        <v>104.38542090227939</v>
      </c>
      <c r="W18" s="30">
        <f t="shared" si="13"/>
        <v>105.32509648757832</v>
      </c>
      <c r="Y18" s="13"/>
      <c r="Z18" s="13"/>
    </row>
    <row r="19" spans="1:26">
      <c r="A19" s="19">
        <f t="shared" si="8"/>
        <v>36526.166666094381</v>
      </c>
      <c r="B19" s="20">
        <f t="shared" si="9"/>
        <v>42.000027470564824</v>
      </c>
      <c r="C19" s="20">
        <f t="shared" si="0"/>
        <v>42</v>
      </c>
      <c r="D19" s="31">
        <f t="shared" si="14"/>
        <v>104.38542090227939</v>
      </c>
      <c r="E19" s="31">
        <f t="shared" si="15"/>
        <v>105.32509648757832</v>
      </c>
      <c r="F19" s="4">
        <f t="shared" si="1"/>
        <v>-2</v>
      </c>
      <c r="G19" s="4">
        <f t="shared" si="10"/>
        <v>-1</v>
      </c>
      <c r="H19" s="33">
        <f t="shared" si="11"/>
        <v>-36000</v>
      </c>
      <c r="I19" s="33">
        <v>0</v>
      </c>
      <c r="J19" s="33">
        <f t="shared" si="16"/>
        <v>-12464.534782180668</v>
      </c>
      <c r="K19" s="33">
        <f t="shared" si="3"/>
        <v>23535.465217819332</v>
      </c>
      <c r="L19" s="33">
        <f t="shared" si="17"/>
        <v>-36000</v>
      </c>
      <c r="M19" s="33">
        <f t="shared" si="4"/>
        <v>-1146.384</v>
      </c>
      <c r="N19" s="33">
        <f t="shared" si="18"/>
        <v>-72000</v>
      </c>
      <c r="O19" s="30">
        <f t="shared" si="5"/>
        <v>-42.973597572728863</v>
      </c>
      <c r="P19" s="27"/>
      <c r="Q19" s="27"/>
      <c r="R19" s="27"/>
      <c r="S19" s="27"/>
      <c r="T19" s="4">
        <f t="shared" si="6"/>
        <v>74.5</v>
      </c>
      <c r="U19" s="20">
        <f t="shared" si="7"/>
        <v>0.69543679352656163</v>
      </c>
      <c r="V19" s="30">
        <f t="shared" si="12"/>
        <v>-21.745828242858707</v>
      </c>
      <c r="W19" s="30">
        <f t="shared" si="13"/>
        <v>-20.806152657559785</v>
      </c>
      <c r="Y19" s="13"/>
      <c r="Z19" s="13"/>
    </row>
    <row r="20" spans="1:26">
      <c r="A20" s="19">
        <f t="shared" si="8"/>
        <v>36526.195642627448</v>
      </c>
      <c r="B20" s="20">
        <f t="shared" si="9"/>
        <v>40.609153883511702</v>
      </c>
      <c r="C20" s="20">
        <f t="shared" si="0"/>
        <v>41</v>
      </c>
      <c r="D20" s="31">
        <f t="shared" si="14"/>
        <v>-21.745828242858707</v>
      </c>
      <c r="E20" s="31">
        <f t="shared" si="15"/>
        <v>-20.806152657559785</v>
      </c>
      <c r="F20" s="4">
        <f t="shared" si="1"/>
        <v>-1</v>
      </c>
      <c r="G20" s="4">
        <f t="shared" si="10"/>
        <v>1</v>
      </c>
      <c r="H20" s="33">
        <f t="shared" si="11"/>
        <v>36000</v>
      </c>
      <c r="I20" s="33">
        <v>0</v>
      </c>
      <c r="J20" s="33">
        <f t="shared" si="16"/>
        <v>59007.534868753515</v>
      </c>
      <c r="K20" s="33">
        <f t="shared" si="3"/>
        <v>23007.534868753512</v>
      </c>
      <c r="L20" s="33">
        <f t="shared" si="17"/>
        <v>36000</v>
      </c>
      <c r="M20" s="33">
        <f t="shared" si="4"/>
        <v>-573.19200000000001</v>
      </c>
      <c r="N20" s="33">
        <f t="shared" si="18"/>
        <v>72000</v>
      </c>
      <c r="O20" s="30">
        <f t="shared" si="5"/>
        <v>54.645576132638453</v>
      </c>
      <c r="P20" s="27"/>
      <c r="Q20" s="27"/>
      <c r="R20" s="27"/>
      <c r="S20" s="27"/>
      <c r="T20" s="4">
        <f t="shared" si="6"/>
        <v>70.5</v>
      </c>
      <c r="U20" s="20">
        <f t="shared" si="7"/>
        <v>0.30444444444444441</v>
      </c>
      <c r="V20" s="30">
        <f t="shared" si="12"/>
        <v>102.94549621898686</v>
      </c>
      <c r="W20" s="30">
        <f t="shared" si="13"/>
        <v>103.4153340116363</v>
      </c>
      <c r="Y20" s="13"/>
      <c r="Z20" s="13"/>
    </row>
    <row r="21" spans="1:26">
      <c r="A21" s="19">
        <f t="shared" si="8"/>
        <v>36526.20832781263</v>
      </c>
      <c r="B21" s="20">
        <f t="shared" si="9"/>
        <v>40.30470943906726</v>
      </c>
      <c r="C21" s="20">
        <f t="shared" si="0"/>
        <v>41</v>
      </c>
      <c r="D21" s="31">
        <f t="shared" si="14"/>
        <v>102.94549621898686</v>
      </c>
      <c r="E21" s="31">
        <f t="shared" si="15"/>
        <v>103.4153340116363</v>
      </c>
      <c r="F21" s="4">
        <f t="shared" si="1"/>
        <v>-1</v>
      </c>
      <c r="G21" s="4">
        <f t="shared" si="10"/>
        <v>-1</v>
      </c>
      <c r="H21" s="33">
        <f t="shared" si="11"/>
        <v>-36000</v>
      </c>
      <c r="I21" s="33">
        <v>0</v>
      </c>
      <c r="J21" s="33">
        <f t="shared" si="16"/>
        <v>-13166.970251246486</v>
      </c>
      <c r="K21" s="33">
        <f t="shared" si="3"/>
        <v>22833.029748753514</v>
      </c>
      <c r="L21" s="33">
        <f t="shared" si="17"/>
        <v>-36000</v>
      </c>
      <c r="M21" s="33">
        <f t="shared" si="4"/>
        <v>-573.19200000000001</v>
      </c>
      <c r="N21" s="33">
        <f t="shared" si="18"/>
        <v>-72000</v>
      </c>
      <c r="O21" s="30">
        <f t="shared" si="5"/>
        <v>-45.994141398609486</v>
      </c>
      <c r="P21" s="27"/>
      <c r="Q21" s="27"/>
      <c r="R21" s="27"/>
      <c r="S21" s="27"/>
      <c r="T21" s="4">
        <f t="shared" si="6"/>
        <v>74.5</v>
      </c>
      <c r="U21" s="20">
        <f t="shared" si="7"/>
        <v>0.61845912009669213</v>
      </c>
      <c r="V21" s="30">
        <f t="shared" si="12"/>
        <v>-22.971308481706803</v>
      </c>
      <c r="W21" s="30">
        <f t="shared" si="13"/>
        <v>-22.501470689057349</v>
      </c>
      <c r="Y21" s="13"/>
      <c r="Z21" s="13"/>
    </row>
    <row r="22" spans="1:26">
      <c r="A22" s="19">
        <f t="shared" si="8"/>
        <v>36526.234096942637</v>
      </c>
      <c r="B22" s="20">
        <f t="shared" si="9"/>
        <v>39.686250318970565</v>
      </c>
      <c r="C22" s="20">
        <f t="shared" si="0"/>
        <v>40</v>
      </c>
      <c r="D22" s="31">
        <f t="shared" si="14"/>
        <v>-22.971308481706803</v>
      </c>
      <c r="E22" s="31">
        <f t="shared" si="15"/>
        <v>-22.501470689057349</v>
      </c>
      <c r="F22" s="4">
        <f t="shared" si="1"/>
        <v>-1</v>
      </c>
      <c r="G22" s="4">
        <f t="shared" si="10"/>
        <v>1</v>
      </c>
      <c r="H22" s="33">
        <f t="shared" si="11"/>
        <v>36000</v>
      </c>
      <c r="I22" s="33">
        <v>0</v>
      </c>
      <c r="J22" s="33">
        <f t="shared" si="16"/>
        <v>58478.533928787045</v>
      </c>
      <c r="K22" s="33">
        <f t="shared" si="3"/>
        <v>22478.533928787048</v>
      </c>
      <c r="L22" s="33">
        <f t="shared" si="17"/>
        <v>36000</v>
      </c>
      <c r="M22" s="33">
        <f t="shared" si="4"/>
        <v>-573.19200000000001</v>
      </c>
      <c r="N22" s="33">
        <f t="shared" si="18"/>
        <v>72000</v>
      </c>
      <c r="O22" s="30">
        <f t="shared" si="5"/>
        <v>51.842599621821662</v>
      </c>
      <c r="P22" s="27"/>
      <c r="Q22" s="27"/>
      <c r="R22" s="27"/>
      <c r="S22" s="27"/>
      <c r="T22" s="4">
        <f t="shared" si="6"/>
        <v>70.5</v>
      </c>
      <c r="U22" s="20">
        <f t="shared" si="7"/>
        <v>0.38166666666666665</v>
      </c>
      <c r="V22" s="30">
        <f t="shared" si="12"/>
        <v>102.0225926544457</v>
      </c>
      <c r="W22" s="30">
        <f t="shared" si="13"/>
        <v>102.49243044709517</v>
      </c>
      <c r="Y22" s="13"/>
      <c r="Z22" s="13"/>
    </row>
    <row r="23" spans="1:26">
      <c r="A23" s="19">
        <f t="shared" si="8"/>
        <v>36526.249999720414</v>
      </c>
      <c r="B23" s="20">
        <f t="shared" si="9"/>
        <v>39.304583652303897</v>
      </c>
      <c r="C23" s="20">
        <f t="shared" si="0"/>
        <v>40</v>
      </c>
      <c r="D23" s="31">
        <f t="shared" si="14"/>
        <v>102.0225926544457</v>
      </c>
      <c r="E23" s="31">
        <f t="shared" si="15"/>
        <v>102.49243044709517</v>
      </c>
      <c r="F23" s="4">
        <f t="shared" si="1"/>
        <v>-1</v>
      </c>
      <c r="G23" s="4">
        <f t="shared" si="10"/>
        <v>-1</v>
      </c>
      <c r="H23" s="33">
        <f t="shared" si="11"/>
        <v>-36000</v>
      </c>
      <c r="I23" s="33">
        <v>0</v>
      </c>
      <c r="J23" s="33">
        <f t="shared" si="16"/>
        <v>-13740.234351212952</v>
      </c>
      <c r="K23" s="33">
        <f t="shared" si="3"/>
        <v>22259.765648787048</v>
      </c>
      <c r="L23" s="33">
        <f t="shared" si="17"/>
        <v>-36000</v>
      </c>
      <c r="M23" s="33">
        <f t="shared" si="4"/>
        <v>-573.19200000000001</v>
      </c>
      <c r="N23" s="33">
        <f t="shared" si="18"/>
        <v>-72000</v>
      </c>
      <c r="O23" s="30">
        <f t="shared" si="5"/>
        <v>-46.024252391806726</v>
      </c>
      <c r="P23" s="27"/>
      <c r="Q23" s="27"/>
      <c r="R23" s="27"/>
      <c r="S23" s="27"/>
      <c r="T23" s="4">
        <f t="shared" si="6"/>
        <v>74.5</v>
      </c>
      <c r="U23" s="20">
        <f t="shared" si="7"/>
        <v>0.59800194949707208</v>
      </c>
      <c r="V23" s="30">
        <f t="shared" si="12"/>
        <v>-23.971434268470166</v>
      </c>
      <c r="W23" s="30">
        <f t="shared" si="13"/>
        <v>-23.501596475820712</v>
      </c>
      <c r="Y23" s="13"/>
      <c r="Z23" s="13"/>
    </row>
    <row r="24" spans="1:26">
      <c r="A24" s="19">
        <f t="shared" si="8"/>
        <v>36526.274916468312</v>
      </c>
      <c r="B24" s="20">
        <f t="shared" si="9"/>
        <v>38.706581702806822</v>
      </c>
      <c r="C24" s="20">
        <f t="shared" si="0"/>
        <v>40</v>
      </c>
      <c r="D24" s="31">
        <f t="shared" si="14"/>
        <v>-23.971434268470166</v>
      </c>
      <c r="E24" s="31">
        <f t="shared" si="15"/>
        <v>-23.501596475820712</v>
      </c>
      <c r="F24" s="4">
        <f t="shared" si="1"/>
        <v>0</v>
      </c>
      <c r="G24" s="4">
        <f t="shared" si="10"/>
        <v>1</v>
      </c>
      <c r="H24" s="33">
        <f t="shared" si="11"/>
        <v>36000</v>
      </c>
      <c r="I24" s="33">
        <v>0</v>
      </c>
      <c r="J24" s="33">
        <f t="shared" si="16"/>
        <v>58186.302979395245</v>
      </c>
      <c r="K24" s="33">
        <f t="shared" si="3"/>
        <v>22186.302979395248</v>
      </c>
      <c r="L24" s="33">
        <f t="shared" si="17"/>
        <v>36000</v>
      </c>
      <c r="M24" s="33">
        <f t="shared" si="4"/>
        <v>0</v>
      </c>
      <c r="N24" s="33">
        <f t="shared" si="18"/>
        <v>72000</v>
      </c>
      <c r="O24" s="30">
        <f t="shared" si="5"/>
        <v>51.850576415379692</v>
      </c>
      <c r="P24" s="27"/>
      <c r="Q24" s="27"/>
      <c r="R24" s="27"/>
      <c r="S24" s="27"/>
      <c r="T24" s="4">
        <f t="shared" si="6"/>
        <v>70.5</v>
      </c>
      <c r="U24" s="20">
        <f t="shared" si="7"/>
        <v>0.40194444444444438</v>
      </c>
      <c r="V24" s="30">
        <f t="shared" si="12"/>
        <v>101.51276183093142</v>
      </c>
      <c r="W24" s="30">
        <f t="shared" si="13"/>
        <v>101.51276183093142</v>
      </c>
      <c r="Y24" s="13"/>
      <c r="Z24" s="13"/>
    </row>
    <row r="25" spans="1:26">
      <c r="A25" s="19">
        <f t="shared" si="8"/>
        <v>36526.291664153498</v>
      </c>
      <c r="B25" s="20">
        <f t="shared" si="9"/>
        <v>38.706581702806822</v>
      </c>
      <c r="C25" s="20">
        <f t="shared" si="0"/>
        <v>40</v>
      </c>
      <c r="D25" s="31">
        <f t="shared" si="14"/>
        <v>101.51276183093142</v>
      </c>
      <c r="E25" s="31">
        <f t="shared" si="15"/>
        <v>101.51276183093142</v>
      </c>
      <c r="F25" s="4">
        <f t="shared" si="1"/>
        <v>0</v>
      </c>
      <c r="G25" s="4">
        <f t="shared" si="10"/>
        <v>-1</v>
      </c>
      <c r="H25" s="33">
        <f t="shared" si="11"/>
        <v>-36000</v>
      </c>
      <c r="I25" s="33">
        <v>0</v>
      </c>
      <c r="J25" s="33">
        <f t="shared" si="16"/>
        <v>-13813.697020604752</v>
      </c>
      <c r="K25" s="33">
        <f t="shared" si="3"/>
        <v>22186.302979395248</v>
      </c>
      <c r="L25" s="33">
        <f t="shared" si="17"/>
        <v>-36000</v>
      </c>
      <c r="M25" s="33">
        <f t="shared" si="4"/>
        <v>0</v>
      </c>
      <c r="N25" s="33">
        <f t="shared" si="18"/>
        <v>-72000</v>
      </c>
      <c r="O25" s="30">
        <f t="shared" si="5"/>
        <v>-48.979591836734699</v>
      </c>
      <c r="P25" s="27"/>
      <c r="Q25" s="27"/>
      <c r="R25" s="27"/>
      <c r="S25" s="27"/>
      <c r="T25" s="4">
        <f t="shared" si="6"/>
        <v>74.5</v>
      </c>
      <c r="U25" s="20">
        <f t="shared" si="7"/>
        <v>0.55151055404818317</v>
      </c>
      <c r="V25" s="30">
        <f t="shared" si="12"/>
        <v>-24.099598425317783</v>
      </c>
      <c r="W25" s="30">
        <f t="shared" si="13"/>
        <v>-24.099598425317787</v>
      </c>
      <c r="Y25" s="13"/>
      <c r="Z25" s="13"/>
    </row>
    <row r="26" spans="1:26">
      <c r="A26" s="19">
        <f t="shared" si="8"/>
        <v>36526.314643759913</v>
      </c>
      <c r="B26" s="20">
        <f t="shared" si="9"/>
        <v>38.706581702806822</v>
      </c>
      <c r="C26" s="20">
        <f t="shared" si="0"/>
        <v>42</v>
      </c>
      <c r="D26" s="31">
        <f t="shared" si="14"/>
        <v>-24.099598425317783</v>
      </c>
      <c r="E26" s="31">
        <f t="shared" si="15"/>
        <v>-24.099598425317787</v>
      </c>
      <c r="F26" s="4">
        <f t="shared" si="1"/>
        <v>2</v>
      </c>
      <c r="G26" s="4">
        <f t="shared" si="10"/>
        <v>1</v>
      </c>
      <c r="H26" s="33">
        <f t="shared" si="11"/>
        <v>36000</v>
      </c>
      <c r="I26" s="33">
        <v>0</v>
      </c>
      <c r="J26" s="33">
        <f t="shared" si="16"/>
        <v>58724.917507483908</v>
      </c>
      <c r="K26" s="33">
        <f t="shared" si="3"/>
        <v>22724.917507483908</v>
      </c>
      <c r="L26" s="33">
        <f t="shared" si="17"/>
        <v>36000</v>
      </c>
      <c r="M26" s="33">
        <f t="shared" si="4"/>
        <v>1146.384</v>
      </c>
      <c r="N26" s="33">
        <f t="shared" si="18"/>
        <v>72000</v>
      </c>
      <c r="O26" s="30">
        <f t="shared" si="5"/>
        <v>48.979591836734699</v>
      </c>
      <c r="P26" s="27"/>
      <c r="Q26" s="27"/>
      <c r="R26" s="27"/>
      <c r="S26" s="27"/>
      <c r="T26" s="4">
        <f t="shared" si="6"/>
        <v>70.5</v>
      </c>
      <c r="U26" s="20">
        <f t="shared" si="7"/>
        <v>0.44861111111111107</v>
      </c>
      <c r="V26" s="30">
        <f t="shared" si="12"/>
        <v>102.45243741623035</v>
      </c>
      <c r="W26" s="30">
        <f t="shared" si="13"/>
        <v>101.51276183093142</v>
      </c>
      <c r="Y26" s="13"/>
      <c r="Z26" s="13"/>
    </row>
    <row r="27" spans="1:26">
      <c r="A27" s="19">
        <f t="shared" si="8"/>
        <v>36526.33333588954</v>
      </c>
      <c r="B27" s="20">
        <f t="shared" si="9"/>
        <v>39.603803925029041</v>
      </c>
      <c r="C27" s="20">
        <f t="shared" si="0"/>
        <v>45</v>
      </c>
      <c r="D27" s="31">
        <f t="shared" si="14"/>
        <v>102.45243741623035</v>
      </c>
      <c r="E27" s="31">
        <f t="shared" si="15"/>
        <v>101.51276183093142</v>
      </c>
      <c r="F27" s="4">
        <f t="shared" si="1"/>
        <v>3</v>
      </c>
      <c r="G27" s="4">
        <f t="shared" si="10"/>
        <v>-1</v>
      </c>
      <c r="H27" s="33">
        <f t="shared" si="11"/>
        <v>-36000</v>
      </c>
      <c r="I27" s="33">
        <v>0</v>
      </c>
      <c r="J27" s="33">
        <f t="shared" si="16"/>
        <v>-12491.494628471766</v>
      </c>
      <c r="K27" s="33">
        <f t="shared" si="3"/>
        <v>23508.505371528234</v>
      </c>
      <c r="L27" s="33">
        <f t="shared" si="17"/>
        <v>-36000</v>
      </c>
      <c r="M27" s="33">
        <f t="shared" si="4"/>
        <v>1719.576</v>
      </c>
      <c r="N27" s="33">
        <f t="shared" si="18"/>
        <v>-72000</v>
      </c>
      <c r="O27" s="30">
        <f t="shared" si="5"/>
        <v>-54.838063896659037</v>
      </c>
      <c r="P27" s="27"/>
      <c r="Q27" s="27"/>
      <c r="R27" s="27"/>
      <c r="S27" s="27"/>
      <c r="T27" s="4">
        <f t="shared" si="6"/>
        <v>74.5</v>
      </c>
      <c r="U27" s="20">
        <f t="shared" si="7"/>
        <v>0.5097269201353648</v>
      </c>
      <c r="V27" s="30">
        <f t="shared" si="12"/>
        <v>-21.792862825147186</v>
      </c>
      <c r="W27" s="30">
        <f t="shared" si="13"/>
        <v>-23.202376203095568</v>
      </c>
      <c r="Y27" s="13"/>
      <c r="Z27" s="13"/>
    </row>
    <row r="28" spans="1:26">
      <c r="A28" s="19">
        <f t="shared" si="8"/>
        <v>36526.354574511213</v>
      </c>
      <c r="B28" s="20">
        <f t="shared" si="9"/>
        <v>41.132984685435133</v>
      </c>
      <c r="C28" s="20">
        <f t="shared" si="0"/>
        <v>45</v>
      </c>
      <c r="D28" s="31">
        <f t="shared" si="14"/>
        <v>-21.792862825147186</v>
      </c>
      <c r="E28" s="31">
        <f t="shared" si="15"/>
        <v>-23.202376203095568</v>
      </c>
      <c r="F28" s="4">
        <f t="shared" si="1"/>
        <v>3</v>
      </c>
      <c r="G28" s="4">
        <f t="shared" si="10"/>
        <v>1</v>
      </c>
      <c r="H28" s="33">
        <f t="shared" si="11"/>
        <v>36000</v>
      </c>
      <c r="I28" s="33">
        <v>0</v>
      </c>
      <c r="J28" s="33">
        <f t="shared" si="16"/>
        <v>60385.019549946926</v>
      </c>
      <c r="K28" s="33">
        <f t="shared" si="3"/>
        <v>24385.019549946923</v>
      </c>
      <c r="L28" s="33">
        <f t="shared" si="17"/>
        <v>36000</v>
      </c>
      <c r="M28" s="33">
        <f t="shared" si="4"/>
        <v>1719.576</v>
      </c>
      <c r="N28" s="33">
        <f t="shared" si="18"/>
        <v>72000</v>
      </c>
      <c r="O28" s="30">
        <f t="shared" si="5"/>
        <v>40.263375772983466</v>
      </c>
      <c r="P28" s="27"/>
      <c r="Q28" s="27"/>
      <c r="R28" s="27"/>
      <c r="S28" s="27"/>
      <c r="T28" s="4">
        <f t="shared" si="6"/>
        <v>70.5</v>
      </c>
      <c r="U28" s="20">
        <f t="shared" si="7"/>
        <v>0.49027777777777776</v>
      </c>
      <c r="V28" s="30">
        <f t="shared" si="12"/>
        <v>105.34867819150813</v>
      </c>
      <c r="W28" s="30">
        <f t="shared" si="13"/>
        <v>103.93916481355974</v>
      </c>
      <c r="Y28" s="13"/>
      <c r="Z28" s="13"/>
    </row>
    <row r="29" spans="1:26">
      <c r="A29" s="19">
        <f t="shared" si="8"/>
        <v>36526.375002751956</v>
      </c>
      <c r="B29" s="20">
        <f t="shared" si="9"/>
        <v>42.603818018768465</v>
      </c>
      <c r="C29" s="20">
        <f t="shared" si="0"/>
        <v>48</v>
      </c>
      <c r="D29" s="31">
        <f t="shared" si="14"/>
        <v>105.34867819150813</v>
      </c>
      <c r="E29" s="31">
        <f t="shared" si="15"/>
        <v>103.93916481355974</v>
      </c>
      <c r="F29" s="4">
        <f t="shared" si="1"/>
        <v>3</v>
      </c>
      <c r="G29" s="4">
        <f t="shared" si="10"/>
        <v>-1</v>
      </c>
      <c r="H29" s="33">
        <f t="shared" si="11"/>
        <v>-36000</v>
      </c>
      <c r="I29" s="33">
        <v>0</v>
      </c>
      <c r="J29" s="33">
        <f t="shared" si="16"/>
        <v>-10771.910550053079</v>
      </c>
      <c r="K29" s="33">
        <f t="shared" si="3"/>
        <v>25228.089449946921</v>
      </c>
      <c r="L29" s="33">
        <f t="shared" si="17"/>
        <v>-36000</v>
      </c>
      <c r="M29" s="33">
        <f t="shared" si="4"/>
        <v>1719.576</v>
      </c>
      <c r="N29" s="33">
        <f t="shared" si="18"/>
        <v>-72000</v>
      </c>
      <c r="O29" s="30">
        <f t="shared" si="5"/>
        <v>-57.718559110294677</v>
      </c>
      <c r="P29" s="27"/>
      <c r="Q29" s="27"/>
      <c r="R29" s="27"/>
      <c r="S29" s="27"/>
      <c r="T29" s="4">
        <f t="shared" si="6"/>
        <v>74.5</v>
      </c>
      <c r="U29" s="20">
        <f t="shared" si="7"/>
        <v>0.53446722626182053</v>
      </c>
      <c r="V29" s="30">
        <f t="shared" si="12"/>
        <v>-18.792848731407762</v>
      </c>
      <c r="W29" s="30">
        <f t="shared" si="13"/>
        <v>-20.202362109356145</v>
      </c>
      <c r="Y29" s="13"/>
      <c r="Z29" s="13"/>
    </row>
    <row r="30" spans="1:26">
      <c r="A30" s="19">
        <f t="shared" si="8"/>
        <v>36526.397272219714</v>
      </c>
      <c r="B30" s="20">
        <f t="shared" si="9"/>
        <v>44.207219697553924</v>
      </c>
      <c r="C30" s="20">
        <f t="shared" si="0"/>
        <v>48</v>
      </c>
      <c r="D30" s="31">
        <f t="shared" si="14"/>
        <v>-18.792848731407762</v>
      </c>
      <c r="E30" s="31">
        <f t="shared" si="15"/>
        <v>-20.202362109356145</v>
      </c>
      <c r="F30" s="4">
        <f t="shared" si="1"/>
        <v>3</v>
      </c>
      <c r="G30" s="4">
        <f t="shared" si="10"/>
        <v>1</v>
      </c>
      <c r="H30" s="33">
        <f t="shared" si="11"/>
        <v>36000</v>
      </c>
      <c r="I30" s="33">
        <v>0</v>
      </c>
      <c r="J30" s="33">
        <f t="shared" si="16"/>
        <v>62147.146465013313</v>
      </c>
      <c r="K30" s="33">
        <f t="shared" si="3"/>
        <v>26147.146465013317</v>
      </c>
      <c r="L30" s="33">
        <f t="shared" si="17"/>
        <v>36000</v>
      </c>
      <c r="M30" s="33">
        <f t="shared" si="4"/>
        <v>1719.576</v>
      </c>
      <c r="N30" s="33">
        <f t="shared" si="18"/>
        <v>72000</v>
      </c>
      <c r="O30" s="30">
        <f t="shared" si="5"/>
        <v>40.292316478185995</v>
      </c>
      <c r="P30" s="27"/>
      <c r="Q30" s="27"/>
      <c r="R30" s="27"/>
      <c r="S30" s="27"/>
      <c r="T30" s="4">
        <f t="shared" si="6"/>
        <v>70.5</v>
      </c>
      <c r="U30" s="20">
        <f t="shared" si="7"/>
        <v>0.46555555555555556</v>
      </c>
      <c r="V30" s="30">
        <f t="shared" si="12"/>
        <v>108.4229132036269</v>
      </c>
      <c r="W30" s="30">
        <f t="shared" si="13"/>
        <v>107.01339982567853</v>
      </c>
      <c r="Y30" s="13"/>
      <c r="Z30" s="13"/>
    </row>
    <row r="31" spans="1:26">
      <c r="A31" s="19">
        <f t="shared" si="8"/>
        <v>36526.416670367864</v>
      </c>
      <c r="B31" s="20">
        <f t="shared" si="9"/>
        <v>45.603886364220592</v>
      </c>
      <c r="C31" s="20">
        <f t="shared" si="0"/>
        <v>50</v>
      </c>
      <c r="D31" s="31">
        <f t="shared" si="14"/>
        <v>108.4229132036269</v>
      </c>
      <c r="E31" s="31">
        <f t="shared" si="15"/>
        <v>107.01339982567853</v>
      </c>
      <c r="F31" s="4">
        <f t="shared" si="1"/>
        <v>2</v>
      </c>
      <c r="G31" s="4">
        <f t="shared" si="10"/>
        <v>-1</v>
      </c>
      <c r="H31" s="33">
        <f t="shared" si="11"/>
        <v>-36000</v>
      </c>
      <c r="I31" s="33">
        <v>0</v>
      </c>
      <c r="J31" s="33">
        <f t="shared" si="16"/>
        <v>-9321.6026390310108</v>
      </c>
      <c r="K31" s="33">
        <f t="shared" si="3"/>
        <v>26678.397360968989</v>
      </c>
      <c r="L31" s="33">
        <f t="shared" si="17"/>
        <v>-36000</v>
      </c>
      <c r="M31" s="33">
        <f t="shared" si="4"/>
        <v>1146.384</v>
      </c>
      <c r="N31" s="33">
        <f t="shared" si="18"/>
        <v>-72000</v>
      </c>
      <c r="O31" s="30">
        <f t="shared" si="5"/>
        <v>-57.747478661314972</v>
      </c>
      <c r="P31" s="27"/>
      <c r="Q31" s="27"/>
      <c r="R31" s="27"/>
      <c r="S31" s="27"/>
      <c r="T31" s="4">
        <f t="shared" si="6"/>
        <v>74.5</v>
      </c>
      <c r="U31" s="20">
        <f t="shared" si="7"/>
        <v>0.58743539960562574</v>
      </c>
      <c r="V31" s="30">
        <f t="shared" si="12"/>
        <v>-16.262618178605095</v>
      </c>
      <c r="W31" s="30">
        <f t="shared" si="13"/>
        <v>-17.202293763904017</v>
      </c>
      <c r="Y31" s="13"/>
      <c r="Z31" s="13"/>
    </row>
    <row r="32" spans="1:26">
      <c r="A32" s="19">
        <f t="shared" si="8"/>
        <v>36526.441146842844</v>
      </c>
      <c r="B32" s="20">
        <f t="shared" si="9"/>
        <v>46.778757163431841</v>
      </c>
      <c r="C32" s="20">
        <f t="shared" si="0"/>
        <v>50</v>
      </c>
      <c r="D32" s="31">
        <f t="shared" si="14"/>
        <v>-16.262618178605095</v>
      </c>
      <c r="E32" s="31">
        <f t="shared" si="15"/>
        <v>-17.202293763904017</v>
      </c>
      <c r="F32" s="4">
        <f t="shared" si="1"/>
        <v>2</v>
      </c>
      <c r="G32" s="4">
        <f t="shared" si="10"/>
        <v>1</v>
      </c>
      <c r="H32" s="33">
        <f t="shared" si="11"/>
        <v>36000</v>
      </c>
      <c r="I32" s="33">
        <v>0</v>
      </c>
      <c r="J32" s="33">
        <f t="shared" si="16"/>
        <v>63351.823904110483</v>
      </c>
      <c r="K32" s="33">
        <f t="shared" si="3"/>
        <v>27351.823904110483</v>
      </c>
      <c r="L32" s="33">
        <f t="shared" si="17"/>
        <v>36000</v>
      </c>
      <c r="M32" s="33">
        <f t="shared" si="4"/>
        <v>1146.384</v>
      </c>
      <c r="N32" s="33">
        <f t="shared" si="18"/>
        <v>72000</v>
      </c>
      <c r="O32" s="30">
        <f t="shared" si="5"/>
        <v>43.229382323165197</v>
      </c>
      <c r="P32" s="27"/>
      <c r="Q32" s="27"/>
      <c r="R32" s="27"/>
      <c r="S32" s="27"/>
      <c r="T32" s="4">
        <f t="shared" si="6"/>
        <v>70.5</v>
      </c>
      <c r="U32" s="20">
        <f t="shared" si="7"/>
        <v>0.41249999999999998</v>
      </c>
      <c r="V32" s="30">
        <f t="shared" si="12"/>
        <v>110.52461287685537</v>
      </c>
      <c r="W32" s="30">
        <f t="shared" si="13"/>
        <v>109.58493729155646</v>
      </c>
      <c r="Y32" s="13"/>
      <c r="Z32" s="13"/>
    </row>
    <row r="33" spans="1:26">
      <c r="A33" s="19">
        <f t="shared" si="8"/>
        <v>36526.458334342846</v>
      </c>
      <c r="B33" s="20">
        <f t="shared" si="9"/>
        <v>47.603757163431844</v>
      </c>
      <c r="C33" s="20">
        <f t="shared" si="0"/>
        <v>52</v>
      </c>
      <c r="D33" s="31">
        <f t="shared" si="14"/>
        <v>110.52461287685537</v>
      </c>
      <c r="E33" s="31">
        <f t="shared" si="15"/>
        <v>109.58493729155646</v>
      </c>
      <c r="F33" s="4">
        <f t="shared" si="1"/>
        <v>2</v>
      </c>
      <c r="G33" s="4">
        <f t="shared" si="10"/>
        <v>-1</v>
      </c>
      <c r="H33" s="33">
        <f t="shared" si="11"/>
        <v>-36000</v>
      </c>
      <c r="I33" s="33">
        <v>0</v>
      </c>
      <c r="J33" s="33">
        <f t="shared" si="16"/>
        <v>-8175.292695889515</v>
      </c>
      <c r="K33" s="33">
        <f t="shared" si="3"/>
        <v>27824.707304110485</v>
      </c>
      <c r="L33" s="33">
        <f t="shared" si="17"/>
        <v>-36000</v>
      </c>
      <c r="M33" s="33">
        <f t="shared" si="4"/>
        <v>1146.384</v>
      </c>
      <c r="N33" s="33">
        <f t="shared" si="18"/>
        <v>-72000</v>
      </c>
      <c r="O33" s="30">
        <f t="shared" si="5"/>
        <v>-54.866225257203268</v>
      </c>
      <c r="P33" s="27"/>
      <c r="Q33" s="27"/>
      <c r="R33" s="27"/>
      <c r="S33" s="27"/>
      <c r="T33" s="4">
        <f t="shared" si="6"/>
        <v>74.5</v>
      </c>
      <c r="U33" s="20">
        <f t="shared" si="7"/>
        <v>0.65658996418977766</v>
      </c>
      <c r="V33" s="30">
        <f t="shared" si="12"/>
        <v>-14.262747379393842</v>
      </c>
      <c r="W33" s="30">
        <f t="shared" si="13"/>
        <v>-15.202422964692765</v>
      </c>
      <c r="Y33" s="13"/>
      <c r="Z33" s="13"/>
    </row>
    <row r="34" spans="1:26">
      <c r="A34" s="19">
        <f t="shared" si="8"/>
        <v>36526.485692258022</v>
      </c>
      <c r="B34" s="20">
        <f t="shared" si="9"/>
        <v>48.916937091811398</v>
      </c>
      <c r="C34" s="20">
        <f t="shared" si="0"/>
        <v>52</v>
      </c>
      <c r="D34" s="31">
        <f t="shared" si="14"/>
        <v>-14.262747379393842</v>
      </c>
      <c r="E34" s="31">
        <f t="shared" si="15"/>
        <v>-15.202422964692765</v>
      </c>
      <c r="F34" s="4">
        <f t="shared" si="1"/>
        <v>2</v>
      </c>
      <c r="G34" s="4">
        <f t="shared" si="10"/>
        <v>1</v>
      </c>
      <c r="H34" s="33">
        <f t="shared" si="11"/>
        <v>36000</v>
      </c>
      <c r="I34" s="33">
        <v>0</v>
      </c>
      <c r="J34" s="33">
        <f t="shared" si="16"/>
        <v>64577.411533618215</v>
      </c>
      <c r="K34" s="33">
        <f t="shared" si="3"/>
        <v>28577.411533618219</v>
      </c>
      <c r="L34" s="33">
        <f t="shared" si="17"/>
        <v>36000</v>
      </c>
      <c r="M34" s="33">
        <f t="shared" si="4"/>
        <v>1146.384</v>
      </c>
      <c r="N34" s="33">
        <f t="shared" si="18"/>
        <v>72000</v>
      </c>
      <c r="O34" s="30">
        <f t="shared" si="5"/>
        <v>43.283312722053779</v>
      </c>
      <c r="P34" s="27"/>
      <c r="Q34" s="27"/>
      <c r="R34" s="27"/>
      <c r="S34" s="27"/>
      <c r="T34" s="4">
        <f t="shared" si="6"/>
        <v>70.5</v>
      </c>
      <c r="U34" s="20">
        <f t="shared" si="7"/>
        <v>0.34333333333333332</v>
      </c>
      <c r="V34" s="30">
        <f t="shared" si="12"/>
        <v>112.66279280523491</v>
      </c>
      <c r="W34" s="30">
        <f t="shared" si="13"/>
        <v>111.723117219936</v>
      </c>
      <c r="Y34" s="13"/>
      <c r="Z34" s="13"/>
    </row>
    <row r="35" spans="1:26">
      <c r="A35" s="19">
        <f t="shared" si="8"/>
        <v>36526.499997813575</v>
      </c>
      <c r="B35" s="20">
        <f t="shared" si="9"/>
        <v>49.603603758478066</v>
      </c>
      <c r="C35" s="20">
        <f t="shared" si="0"/>
        <v>52</v>
      </c>
      <c r="D35" s="31">
        <f t="shared" si="14"/>
        <v>112.66279280523491</v>
      </c>
      <c r="E35" s="31">
        <f t="shared" si="15"/>
        <v>111.723117219936</v>
      </c>
      <c r="F35" s="4">
        <f t="shared" si="1"/>
        <v>2</v>
      </c>
      <c r="G35" s="4">
        <f t="shared" si="10"/>
        <v>-1</v>
      </c>
      <c r="H35" s="33">
        <f t="shared" si="11"/>
        <v>-36000</v>
      </c>
      <c r="I35" s="33">
        <v>0</v>
      </c>
      <c r="J35" s="33">
        <f t="shared" si="16"/>
        <v>-7028.9966263817805</v>
      </c>
      <c r="K35" s="33">
        <f t="shared" si="3"/>
        <v>28971.003373618219</v>
      </c>
      <c r="L35" s="33">
        <f t="shared" si="17"/>
        <v>-36000</v>
      </c>
      <c r="M35" s="33">
        <f t="shared" si="4"/>
        <v>1146.384</v>
      </c>
      <c r="N35" s="33">
        <f t="shared" si="18"/>
        <v>-72000</v>
      </c>
      <c r="O35" s="30">
        <f t="shared" si="5"/>
        <v>-54.920165093938067</v>
      </c>
      <c r="P35" s="27"/>
      <c r="Q35" s="27"/>
      <c r="R35" s="27"/>
      <c r="S35" s="27"/>
      <c r="T35" s="4">
        <f t="shared" si="6"/>
        <v>74.5</v>
      </c>
      <c r="U35" s="20">
        <f t="shared" si="7"/>
        <v>0.69487760533784737</v>
      </c>
      <c r="V35" s="30">
        <f t="shared" si="12"/>
        <v>-12.26290078434762</v>
      </c>
      <c r="W35" s="30">
        <f t="shared" si="13"/>
        <v>-13.202576369646543</v>
      </c>
      <c r="Y35" s="13"/>
      <c r="Z35" s="13"/>
    </row>
    <row r="36" spans="1:26">
      <c r="A36" s="19">
        <f t="shared" si="8"/>
        <v>36526.528951047134</v>
      </c>
      <c r="B36" s="20">
        <f t="shared" si="9"/>
        <v>50.993358969153761</v>
      </c>
      <c r="C36" s="20">
        <f t="shared" si="0"/>
        <v>53</v>
      </c>
      <c r="D36" s="31">
        <f t="shared" si="14"/>
        <v>-12.26290078434762</v>
      </c>
      <c r="E36" s="31">
        <f t="shared" si="15"/>
        <v>-13.202576369646543</v>
      </c>
      <c r="F36" s="4">
        <f t="shared" si="1"/>
        <v>1</v>
      </c>
      <c r="G36" s="4">
        <f t="shared" si="10"/>
        <v>1</v>
      </c>
      <c r="H36" s="33">
        <f t="shared" si="11"/>
        <v>36000</v>
      </c>
      <c r="I36" s="33">
        <v>0</v>
      </c>
      <c r="J36" s="33">
        <f t="shared" si="16"/>
        <v>65498.292678291509</v>
      </c>
      <c r="K36" s="33">
        <f t="shared" si="3"/>
        <v>29498.292678291509</v>
      </c>
      <c r="L36" s="33">
        <f t="shared" si="17"/>
        <v>36000</v>
      </c>
      <c r="M36" s="33">
        <f t="shared" si="4"/>
        <v>573.19200000000001</v>
      </c>
      <c r="N36" s="33">
        <f t="shared" si="18"/>
        <v>72000</v>
      </c>
      <c r="O36" s="30">
        <f t="shared" si="5"/>
        <v>43.313171456210156</v>
      </c>
      <c r="P36" s="27"/>
      <c r="Q36" s="27"/>
      <c r="R36" s="27"/>
      <c r="S36" s="27"/>
      <c r="T36" s="4">
        <f t="shared" si="6"/>
        <v>70.5</v>
      </c>
      <c r="U36" s="20">
        <f t="shared" si="7"/>
        <v>0.30527777777777776</v>
      </c>
      <c r="V36" s="30">
        <f t="shared" si="12"/>
        <v>114.26937688992783</v>
      </c>
      <c r="W36" s="30">
        <f t="shared" si="13"/>
        <v>113.79953909727837</v>
      </c>
      <c r="Y36" s="13"/>
      <c r="Z36" s="13"/>
    </row>
    <row r="37" spans="1:26">
      <c r="A37" s="19">
        <f t="shared" si="8"/>
        <v>36526.541670954539</v>
      </c>
      <c r="B37" s="20">
        <f t="shared" si="9"/>
        <v>51.298636746931535</v>
      </c>
      <c r="C37" s="20">
        <f t="shared" si="0"/>
        <v>55</v>
      </c>
      <c r="D37" s="31">
        <f t="shared" si="14"/>
        <v>114.26937688992783</v>
      </c>
      <c r="E37" s="31">
        <f t="shared" si="15"/>
        <v>113.79953909727837</v>
      </c>
      <c r="F37" s="4">
        <f t="shared" si="1"/>
        <v>2</v>
      </c>
      <c r="G37" s="4">
        <f t="shared" si="10"/>
        <v>-1</v>
      </c>
      <c r="H37" s="33">
        <f t="shared" si="11"/>
        <v>-36000</v>
      </c>
      <c r="I37" s="33">
        <v>0</v>
      </c>
      <c r="J37" s="33">
        <f t="shared" si="16"/>
        <v>-6057.4172776641608</v>
      </c>
      <c r="K37" s="33">
        <f t="shared" si="3"/>
        <v>29942.582722335839</v>
      </c>
      <c r="L37" s="33">
        <f t="shared" si="17"/>
        <v>-36000</v>
      </c>
      <c r="M37" s="33">
        <f t="shared" si="4"/>
        <v>1146.384</v>
      </c>
      <c r="N37" s="33">
        <f t="shared" si="18"/>
        <v>-72000</v>
      </c>
      <c r="O37" s="30">
        <f t="shared" si="5"/>
        <v>-51.964717336084732</v>
      </c>
      <c r="P37" s="27"/>
      <c r="Q37" s="27"/>
      <c r="R37" s="27"/>
      <c r="S37" s="27"/>
      <c r="T37" s="4">
        <f t="shared" si="6"/>
        <v>74.5</v>
      </c>
      <c r="U37" s="20">
        <f t="shared" si="7"/>
        <v>0.76531498541052667</v>
      </c>
      <c r="V37" s="30">
        <f t="shared" si="12"/>
        <v>-10.567867795894152</v>
      </c>
      <c r="W37" s="30">
        <f t="shared" si="13"/>
        <v>-11.507543381193074</v>
      </c>
      <c r="Y37" s="13"/>
      <c r="Z37" s="13"/>
    </row>
    <row r="38" spans="1:26">
      <c r="A38" s="19">
        <f t="shared" si="8"/>
        <v>36526.573559078934</v>
      </c>
      <c r="B38" s="20">
        <f t="shared" si="9"/>
        <v>52.829266717752589</v>
      </c>
      <c r="C38" s="20">
        <f t="shared" si="0"/>
        <v>55</v>
      </c>
      <c r="D38" s="31">
        <f t="shared" si="14"/>
        <v>-10.567867795894152</v>
      </c>
      <c r="E38" s="31">
        <f t="shared" si="15"/>
        <v>-11.507543381193074</v>
      </c>
      <c r="F38" s="4">
        <f t="shared" si="1"/>
        <v>2</v>
      </c>
      <c r="G38" s="4">
        <f t="shared" si="10"/>
        <v>1</v>
      </c>
      <c r="H38" s="33">
        <f t="shared" si="11"/>
        <v>36000</v>
      </c>
      <c r="I38" s="33">
        <v>0</v>
      </c>
      <c r="J38" s="33">
        <f t="shared" si="16"/>
        <v>66819.927576570699</v>
      </c>
      <c r="K38" s="33">
        <f t="shared" si="3"/>
        <v>30819.927576570703</v>
      </c>
      <c r="L38" s="33">
        <f t="shared" si="17"/>
        <v>36000</v>
      </c>
      <c r="M38" s="33">
        <f t="shared" si="4"/>
        <v>1146.384</v>
      </c>
      <c r="N38" s="33">
        <f t="shared" si="18"/>
        <v>72000</v>
      </c>
      <c r="O38" s="30">
        <f t="shared" si="5"/>
        <v>43.368102262684488</v>
      </c>
      <c r="P38" s="27"/>
      <c r="Q38" s="27"/>
      <c r="R38" s="27"/>
      <c r="S38" s="27"/>
      <c r="T38" s="4">
        <f t="shared" si="6"/>
        <v>70.5</v>
      </c>
      <c r="U38" s="20">
        <f t="shared" si="7"/>
        <v>0.23444444444444446</v>
      </c>
      <c r="V38" s="30">
        <f t="shared" si="12"/>
        <v>116.57512243117611</v>
      </c>
      <c r="W38" s="30">
        <f t="shared" si="13"/>
        <v>115.6354468458772</v>
      </c>
      <c r="Y38" s="13"/>
      <c r="Z38" s="13"/>
    </row>
    <row r="39" spans="1:26">
      <c r="A39" s="19">
        <f t="shared" si="8"/>
        <v>36526.583327597451</v>
      </c>
      <c r="B39" s="20">
        <f t="shared" si="9"/>
        <v>53.29815560664148</v>
      </c>
      <c r="C39" s="20">
        <f t="shared" si="0"/>
        <v>55</v>
      </c>
      <c r="D39" s="31">
        <f t="shared" si="14"/>
        <v>116.57512243117611</v>
      </c>
      <c r="E39" s="31">
        <f t="shared" si="15"/>
        <v>115.6354468458772</v>
      </c>
      <c r="F39" s="4">
        <f t="shared" si="1"/>
        <v>2</v>
      </c>
      <c r="G39" s="4">
        <f t="shared" si="10"/>
        <v>-1</v>
      </c>
      <c r="H39" s="33">
        <f t="shared" si="11"/>
        <v>-36000</v>
      </c>
      <c r="I39" s="33">
        <v>0</v>
      </c>
      <c r="J39" s="33">
        <f t="shared" si="16"/>
        <v>-4911.3090634292967</v>
      </c>
      <c r="K39" s="33">
        <f t="shared" si="3"/>
        <v>31088.690936570703</v>
      </c>
      <c r="L39" s="33">
        <f t="shared" si="17"/>
        <v>-36000</v>
      </c>
      <c r="M39" s="33">
        <f t="shared" si="4"/>
        <v>1146.384</v>
      </c>
      <c r="N39" s="33">
        <f t="shared" si="18"/>
        <v>-72000</v>
      </c>
      <c r="O39" s="30">
        <f t="shared" si="5"/>
        <v>-55.005082427271304</v>
      </c>
      <c r="P39" s="27"/>
      <c r="Q39" s="27"/>
      <c r="R39" s="27"/>
      <c r="S39" s="27"/>
      <c r="T39" s="4">
        <f t="shared" si="6"/>
        <v>74.5</v>
      </c>
      <c r="U39" s="20">
        <f t="shared" si="7"/>
        <v>0.76493154040462685</v>
      </c>
      <c r="V39" s="30">
        <f t="shared" si="12"/>
        <v>-8.5683489361842042</v>
      </c>
      <c r="W39" s="30">
        <f t="shared" si="13"/>
        <v>-9.5080245214831294</v>
      </c>
      <c r="Y39" s="13"/>
      <c r="Z39" s="13"/>
    </row>
    <row r="40" spans="1:26">
      <c r="A40" s="19">
        <f t="shared" si="8"/>
        <v>36526.615199744971</v>
      </c>
      <c r="B40" s="20">
        <f t="shared" si="9"/>
        <v>54.828018687450736</v>
      </c>
      <c r="C40" s="20">
        <f t="shared" si="0"/>
        <v>56</v>
      </c>
      <c r="D40" s="31">
        <f t="shared" si="14"/>
        <v>-8.5683489361842042</v>
      </c>
      <c r="E40" s="31">
        <f t="shared" si="15"/>
        <v>-9.5080245214831294</v>
      </c>
      <c r="F40" s="4">
        <f t="shared" si="1"/>
        <v>1</v>
      </c>
      <c r="G40" s="4">
        <f t="shared" si="10"/>
        <v>1</v>
      </c>
      <c r="H40" s="33">
        <f t="shared" si="11"/>
        <v>36000</v>
      </c>
      <c r="I40" s="33">
        <v>0</v>
      </c>
      <c r="J40" s="33">
        <f t="shared" si="16"/>
        <v>67696.288951541588</v>
      </c>
      <c r="K40" s="33">
        <f t="shared" si="3"/>
        <v>31696.288951541592</v>
      </c>
      <c r="L40" s="33">
        <f t="shared" si="17"/>
        <v>36000</v>
      </c>
      <c r="M40" s="33">
        <f t="shared" si="4"/>
        <v>573.19200000000001</v>
      </c>
      <c r="N40" s="33">
        <f t="shared" si="18"/>
        <v>72000</v>
      </c>
      <c r="O40" s="30">
        <f t="shared" si="5"/>
        <v>43.367803231922792</v>
      </c>
      <c r="P40" s="27"/>
      <c r="Q40" s="27"/>
      <c r="R40" s="27"/>
      <c r="S40" s="27"/>
      <c r="T40" s="4">
        <f t="shared" si="6"/>
        <v>70.5</v>
      </c>
      <c r="U40" s="20">
        <f t="shared" si="7"/>
        <v>0.23527777777777778</v>
      </c>
      <c r="V40" s="30">
        <f t="shared" si="12"/>
        <v>118.1040366082248</v>
      </c>
      <c r="W40" s="30">
        <f t="shared" si="13"/>
        <v>117.63419881557535</v>
      </c>
      <c r="Y40" s="13"/>
      <c r="Z40" s="13"/>
    </row>
    <row r="41" spans="1:26">
      <c r="A41" s="19">
        <f t="shared" si="8"/>
        <v>36526.625002985711</v>
      </c>
      <c r="B41" s="20">
        <f t="shared" si="9"/>
        <v>55.063296465228511</v>
      </c>
      <c r="C41" s="20">
        <f t="shared" ref="C41:C73" si="19">VLOOKUP(A41,weather,3)</f>
        <v>55</v>
      </c>
      <c r="D41" s="31">
        <f t="shared" si="14"/>
        <v>118.1040366082248</v>
      </c>
      <c r="E41" s="31">
        <f t="shared" si="15"/>
        <v>117.63419881557535</v>
      </c>
      <c r="F41" s="4">
        <f t="shared" ref="F41:F73" si="20">C41-VLOOKUP(A41,weather,2)</f>
        <v>-1</v>
      </c>
      <c r="G41" s="4">
        <f t="shared" si="10"/>
        <v>-1</v>
      </c>
      <c r="H41" s="33">
        <f t="shared" si="11"/>
        <v>-36000</v>
      </c>
      <c r="I41" s="33">
        <v>0</v>
      </c>
      <c r="J41" s="33">
        <f t="shared" si="16"/>
        <v>-4707.4662365470685</v>
      </c>
      <c r="K41" s="33">
        <f t="shared" ref="K41:K73" si="21">UA*B41 + M41*CM/HM</f>
        <v>31292.533763452931</v>
      </c>
      <c r="L41" s="33">
        <f t="shared" si="17"/>
        <v>-36000</v>
      </c>
      <c r="M41" s="33">
        <f t="shared" ref="M41:M73" si="22">UA*(C41-VLOOKUP(A41,weather,2))</f>
        <v>-573.19200000000001</v>
      </c>
      <c r="N41" s="33">
        <f t="shared" si="18"/>
        <v>-72000</v>
      </c>
      <c r="O41" s="30">
        <f t="shared" ref="O41:O73" si="23">HM/CA*E41+UA/CA*B41+H41/CA-(UA+HM)/CA*D41</f>
        <v>-51.992012193227538</v>
      </c>
      <c r="P41" s="27"/>
      <c r="Q41" s="27"/>
      <c r="R41" s="27"/>
      <c r="S41" s="27"/>
      <c r="T41" s="4">
        <f t="shared" ref="T41:T73" si="24">IF(G41=0,IF(O41&gt;0,TC+DB,TH-DB),IF(G41&gt;0,TH+DB,TC-DB))</f>
        <v>74.5</v>
      </c>
      <c r="U41" s="20">
        <f t="shared" ref="U41:U72" si="25">MIN((T41-D41)/O41,1-MINUTE(A41)/60-SECOND(A41)/3600)</f>
        <v>0.83866799473294185</v>
      </c>
      <c r="V41" s="30">
        <f t="shared" si="12"/>
        <v>-8.212721455545557</v>
      </c>
      <c r="W41" s="30">
        <f t="shared" ref="W41:W73" si="26">P41*(CA/HM*p+UA/HM+1)*EXP(p*U41)+Q41*(CA/HM*q+UA/HM+1)*EXP(q*U41)+I41/HM+I41/UA+H41/UA+B41</f>
        <v>-7.742883662896098</v>
      </c>
      <c r="Y41" s="13"/>
      <c r="Z41" s="13"/>
    </row>
    <row r="42" spans="1:26">
      <c r="A42" s="19">
        <f t="shared" ref="A42:A73" si="27">A41+U41/24</f>
        <v>36526.659947485488</v>
      </c>
      <c r="B42" s="20">
        <f t="shared" ref="B42:B73" si="28">B41+U41*F41</f>
        <v>54.224628470495567</v>
      </c>
      <c r="C42" s="20">
        <f t="shared" si="19"/>
        <v>55</v>
      </c>
      <c r="D42" s="31">
        <f t="shared" si="14"/>
        <v>-8.212721455545557</v>
      </c>
      <c r="E42" s="31">
        <f t="shared" si="15"/>
        <v>-7.742883662896098</v>
      </c>
      <c r="F42" s="4">
        <f t="shared" si="20"/>
        <v>-1</v>
      </c>
      <c r="G42" s="4">
        <f t="shared" ref="G42:G73" si="29">IF(D42&lt;=TH-DB,1,IF(D42&gt;TC+DB,-1,0))</f>
        <v>1</v>
      </c>
      <c r="H42" s="33">
        <f t="shared" si="11"/>
        <v>36000</v>
      </c>
      <c r="I42" s="33">
        <v>0</v>
      </c>
      <c r="J42" s="33">
        <f t="shared" si="16"/>
        <v>66811.815978215964</v>
      </c>
      <c r="K42" s="33">
        <f t="shared" si="21"/>
        <v>30811.815978215967</v>
      </c>
      <c r="L42" s="33">
        <f t="shared" si="17"/>
        <v>36000</v>
      </c>
      <c r="M42" s="33">
        <f t="shared" si="22"/>
        <v>-573.19200000000001</v>
      </c>
      <c r="N42" s="33">
        <f t="shared" si="18"/>
        <v>72000</v>
      </c>
      <c r="O42" s="30">
        <f t="shared" si="23"/>
        <v>51.756734339324744</v>
      </c>
      <c r="P42" s="27"/>
      <c r="Q42" s="27"/>
      <c r="R42" s="27"/>
      <c r="S42" s="27"/>
      <c r="T42" s="4">
        <f t="shared" si="24"/>
        <v>70.5</v>
      </c>
      <c r="U42" s="20">
        <f t="shared" si="25"/>
        <v>0.16138888888888886</v>
      </c>
      <c r="V42" s="30">
        <f t="shared" ref="V42:V73" si="30">P42*EXP(p*U42)+Q42*EXP(q*U42)+J42/c_</f>
        <v>116.56097080597071</v>
      </c>
      <c r="W42" s="30">
        <f t="shared" si="26"/>
        <v>117.03080859862018</v>
      </c>
      <c r="Y42" s="13"/>
      <c r="Z42" s="13"/>
    </row>
    <row r="43" spans="1:26">
      <c r="A43" s="19">
        <f t="shared" si="27"/>
        <v>36526.666672022526</v>
      </c>
      <c r="B43" s="20">
        <f t="shared" si="28"/>
        <v>54.06323958160668</v>
      </c>
      <c r="C43" s="20">
        <f t="shared" si="19"/>
        <v>53</v>
      </c>
      <c r="D43" s="31">
        <f t="shared" si="14"/>
        <v>116.56097080597071</v>
      </c>
      <c r="E43" s="31">
        <f t="shared" si="15"/>
        <v>117.03080859862018</v>
      </c>
      <c r="F43" s="4">
        <f t="shared" si="20"/>
        <v>-2</v>
      </c>
      <c r="G43" s="4">
        <f t="shared" si="29"/>
        <v>-1</v>
      </c>
      <c r="H43" s="33">
        <f t="shared" si="11"/>
        <v>-36000</v>
      </c>
      <c r="I43" s="33">
        <v>0</v>
      </c>
      <c r="J43" s="33">
        <f t="shared" si="16"/>
        <v>-5549.9981058283629</v>
      </c>
      <c r="K43" s="33">
        <f t="shared" si="21"/>
        <v>30450.001894171637</v>
      </c>
      <c r="L43" s="33">
        <f t="shared" si="17"/>
        <v>-36000</v>
      </c>
      <c r="M43" s="33">
        <f t="shared" si="22"/>
        <v>-1146.384</v>
      </c>
      <c r="N43" s="33">
        <f t="shared" si="18"/>
        <v>-72000</v>
      </c>
      <c r="O43" s="30">
        <f t="shared" si="23"/>
        <v>-45.9383602421467</v>
      </c>
      <c r="P43" s="27"/>
      <c r="Q43" s="27"/>
      <c r="R43" s="27"/>
      <c r="S43" s="27"/>
      <c r="T43" s="4">
        <f t="shared" si="24"/>
        <v>74.5</v>
      </c>
      <c r="U43" s="20">
        <f t="shared" si="25"/>
        <v>0.91559582414919038</v>
      </c>
      <c r="V43" s="30">
        <f t="shared" si="30"/>
        <v>-9.6826161318168484</v>
      </c>
      <c r="W43" s="30">
        <f t="shared" si="26"/>
        <v>-8.7429405465179286</v>
      </c>
      <c r="Y43" s="13"/>
      <c r="Z43" s="13"/>
    </row>
    <row r="44" spans="1:26">
      <c r="A44" s="19">
        <f t="shared" si="27"/>
        <v>36526.704821848529</v>
      </c>
      <c r="B44" s="20">
        <f t="shared" si="28"/>
        <v>52.232047933308301</v>
      </c>
      <c r="C44" s="20">
        <f t="shared" si="19"/>
        <v>53</v>
      </c>
      <c r="D44" s="31">
        <f t="shared" si="14"/>
        <v>-9.6826161318168484</v>
      </c>
      <c r="E44" s="31">
        <f t="shared" si="15"/>
        <v>-8.7429405465179286</v>
      </c>
      <c r="F44" s="4">
        <f t="shared" si="20"/>
        <v>-2</v>
      </c>
      <c r="G44" s="4">
        <f t="shared" si="29"/>
        <v>1</v>
      </c>
      <c r="H44" s="33">
        <f t="shared" si="11"/>
        <v>36000</v>
      </c>
      <c r="I44" s="33">
        <v>0</v>
      </c>
      <c r="J44" s="33">
        <f t="shared" si="16"/>
        <v>65400.377490900195</v>
      </c>
      <c r="K44" s="33">
        <f t="shared" si="21"/>
        <v>29400.377490900191</v>
      </c>
      <c r="L44" s="33">
        <f t="shared" si="17"/>
        <v>36000</v>
      </c>
      <c r="M44" s="33">
        <f t="shared" si="22"/>
        <v>-1146.384</v>
      </c>
      <c r="N44" s="33">
        <f t="shared" si="18"/>
        <v>72000</v>
      </c>
      <c r="O44" s="30">
        <f t="shared" si="23"/>
        <v>54.473884438651183</v>
      </c>
      <c r="P44" s="27"/>
      <c r="Q44" s="27"/>
      <c r="R44" s="27"/>
      <c r="S44" s="27"/>
      <c r="T44" s="4">
        <f t="shared" si="24"/>
        <v>70.5</v>
      </c>
      <c r="U44" s="20">
        <f t="shared" si="25"/>
        <v>8.416666666666664E-2</v>
      </c>
      <c r="V44" s="30">
        <f t="shared" si="30"/>
        <v>114.09855247613399</v>
      </c>
      <c r="W44" s="30">
        <f t="shared" si="26"/>
        <v>115.0382280614329</v>
      </c>
      <c r="Y44" s="13"/>
      <c r="Z44" s="13"/>
    </row>
    <row r="45" spans="1:26">
      <c r="A45" s="19">
        <f t="shared" si="27"/>
        <v>36526.708328792971</v>
      </c>
      <c r="B45" s="20">
        <f t="shared" si="28"/>
        <v>52.063714599974965</v>
      </c>
      <c r="C45" s="20">
        <f t="shared" si="19"/>
        <v>53</v>
      </c>
      <c r="D45" s="31">
        <f t="shared" si="14"/>
        <v>114.09855247613399</v>
      </c>
      <c r="E45" s="31">
        <f t="shared" si="15"/>
        <v>115.0382280614329</v>
      </c>
      <c r="F45" s="4">
        <f t="shared" si="20"/>
        <v>-2</v>
      </c>
      <c r="G45" s="4">
        <f t="shared" si="29"/>
        <v>-1</v>
      </c>
      <c r="H45" s="33">
        <f t="shared" si="11"/>
        <v>-36000</v>
      </c>
      <c r="I45" s="33">
        <v>0</v>
      </c>
      <c r="J45" s="33">
        <f t="shared" si="16"/>
        <v>-6696.1098290998088</v>
      </c>
      <c r="K45" s="33">
        <f t="shared" si="21"/>
        <v>29303.890170900191</v>
      </c>
      <c r="L45" s="33">
        <f t="shared" si="17"/>
        <v>-36000</v>
      </c>
      <c r="M45" s="33">
        <f t="shared" si="22"/>
        <v>-1146.384</v>
      </c>
      <c r="N45" s="33">
        <f t="shared" si="18"/>
        <v>-72000</v>
      </c>
      <c r="O45" s="30">
        <f t="shared" si="23"/>
        <v>-42.836906661164335</v>
      </c>
      <c r="P45" s="27"/>
      <c r="Q45" s="27"/>
      <c r="R45" s="27"/>
      <c r="S45" s="27"/>
      <c r="T45" s="4">
        <f t="shared" si="24"/>
        <v>74.5</v>
      </c>
      <c r="U45" s="20">
        <f t="shared" si="25"/>
        <v>0.92440270697776095</v>
      </c>
      <c r="V45" s="30">
        <f t="shared" si="30"/>
        <v>-11.682141113448562</v>
      </c>
      <c r="W45" s="30">
        <f t="shared" si="26"/>
        <v>-10.742465528149644</v>
      </c>
      <c r="Y45" s="13"/>
      <c r="Z45" s="13"/>
    </row>
    <row r="46" spans="1:26">
      <c r="A46" s="19">
        <f t="shared" si="27"/>
        <v>36526.74684557243</v>
      </c>
      <c r="B46" s="20">
        <f t="shared" si="28"/>
        <v>50.21490918601944</v>
      </c>
      <c r="C46" s="20">
        <f t="shared" si="19"/>
        <v>52</v>
      </c>
      <c r="D46" s="31">
        <f t="shared" si="14"/>
        <v>-11.682141113448562</v>
      </c>
      <c r="E46" s="31">
        <f t="shared" si="15"/>
        <v>-10.742465528149644</v>
      </c>
      <c r="F46" s="4">
        <f t="shared" si="20"/>
        <v>-1</v>
      </c>
      <c r="G46" s="4">
        <f t="shared" si="29"/>
        <v>1</v>
      </c>
      <c r="H46" s="33">
        <f t="shared" si="11"/>
        <v>36000</v>
      </c>
      <c r="I46" s="33">
        <v>0</v>
      </c>
      <c r="J46" s="33">
        <f t="shared" si="16"/>
        <v>64513.476962108529</v>
      </c>
      <c r="K46" s="33">
        <f t="shared" si="21"/>
        <v>28513.476962108529</v>
      </c>
      <c r="L46" s="33">
        <f t="shared" si="17"/>
        <v>36000</v>
      </c>
      <c r="M46" s="33">
        <f t="shared" si="22"/>
        <v>-573.19200000000001</v>
      </c>
      <c r="N46" s="33">
        <f t="shared" si="18"/>
        <v>72000</v>
      </c>
      <c r="O46" s="30">
        <f t="shared" si="23"/>
        <v>54.467016364117455</v>
      </c>
      <c r="P46" s="27"/>
      <c r="Q46" s="27"/>
      <c r="R46" s="27"/>
      <c r="S46" s="27"/>
      <c r="T46" s="4">
        <f t="shared" si="24"/>
        <v>70.5</v>
      </c>
      <c r="U46" s="20">
        <f t="shared" si="25"/>
        <v>7.5833333333333364E-2</v>
      </c>
      <c r="V46" s="30">
        <f t="shared" si="30"/>
        <v>112.55125152149459</v>
      </c>
      <c r="W46" s="30">
        <f t="shared" si="26"/>
        <v>113.02108931414405</v>
      </c>
      <c r="Y46" s="13"/>
      <c r="Z46" s="13"/>
    </row>
    <row r="47" spans="1:26">
      <c r="A47" s="19">
        <f t="shared" si="27"/>
        <v>36526.750005294649</v>
      </c>
      <c r="B47" s="20">
        <f t="shared" si="28"/>
        <v>50.139075852686105</v>
      </c>
      <c r="C47" s="20">
        <f t="shared" si="19"/>
        <v>51</v>
      </c>
      <c r="D47" s="31">
        <f t="shared" si="14"/>
        <v>112.55125152149459</v>
      </c>
      <c r="E47" s="31">
        <f t="shared" si="15"/>
        <v>113.02108931414405</v>
      </c>
      <c r="F47" s="4">
        <f t="shared" si="20"/>
        <v>-1</v>
      </c>
      <c r="G47" s="4">
        <f t="shared" si="29"/>
        <v>-1</v>
      </c>
      <c r="H47" s="33">
        <f t="shared" si="11"/>
        <v>-36000</v>
      </c>
      <c r="I47" s="33">
        <v>0</v>
      </c>
      <c r="J47" s="33">
        <f t="shared" si="16"/>
        <v>-7529.9900978914739</v>
      </c>
      <c r="K47" s="33">
        <f t="shared" si="21"/>
        <v>28470.009902108526</v>
      </c>
      <c r="L47" s="33">
        <f t="shared" si="17"/>
        <v>-36000</v>
      </c>
      <c r="M47" s="33">
        <f t="shared" si="22"/>
        <v>-573.19200000000001</v>
      </c>
      <c r="N47" s="33">
        <f t="shared" si="18"/>
        <v>-72000</v>
      </c>
      <c r="O47" s="30">
        <f t="shared" si="23"/>
        <v>-45.904999861194369</v>
      </c>
      <c r="P47" s="27"/>
      <c r="Q47" s="27"/>
      <c r="R47" s="27"/>
      <c r="S47" s="27"/>
      <c r="T47" s="4">
        <f t="shared" si="24"/>
        <v>74.5</v>
      </c>
      <c r="U47" s="20">
        <f t="shared" si="25"/>
        <v>0.82891300809394153</v>
      </c>
      <c r="V47" s="30">
        <f t="shared" si="30"/>
        <v>-13.13694206808796</v>
      </c>
      <c r="W47" s="30">
        <f t="shared" si="26"/>
        <v>-12.667104275438504</v>
      </c>
      <c r="Y47" s="13"/>
      <c r="Z47" s="13"/>
    </row>
    <row r="48" spans="1:26">
      <c r="A48" s="19">
        <f t="shared" si="27"/>
        <v>36526.784543336653</v>
      </c>
      <c r="B48" s="20">
        <f t="shared" si="28"/>
        <v>49.310162844592163</v>
      </c>
      <c r="C48" s="20">
        <f t="shared" si="19"/>
        <v>51</v>
      </c>
      <c r="D48" s="31">
        <f t="shared" si="14"/>
        <v>-13.13694206808796</v>
      </c>
      <c r="E48" s="31">
        <f t="shared" si="15"/>
        <v>-12.667104275438504</v>
      </c>
      <c r="F48" s="4">
        <f t="shared" si="20"/>
        <v>-1</v>
      </c>
      <c r="G48" s="4">
        <f t="shared" si="29"/>
        <v>1</v>
      </c>
      <c r="H48" s="33">
        <f t="shared" si="11"/>
        <v>36000</v>
      </c>
      <c r="I48" s="33">
        <v>0</v>
      </c>
      <c r="J48" s="33">
        <f t="shared" si="16"/>
        <v>63994.883597173146</v>
      </c>
      <c r="K48" s="33">
        <f t="shared" si="21"/>
        <v>27994.883597173142</v>
      </c>
      <c r="L48" s="33">
        <f t="shared" si="17"/>
        <v>36000</v>
      </c>
      <c r="M48" s="33">
        <f t="shared" si="22"/>
        <v>-573.19200000000001</v>
      </c>
      <c r="N48" s="33">
        <f t="shared" si="18"/>
        <v>72000</v>
      </c>
      <c r="O48" s="30">
        <f t="shared" si="23"/>
        <v>51.760538067421038</v>
      </c>
      <c r="P48" s="27"/>
      <c r="Q48" s="27"/>
      <c r="R48" s="27"/>
      <c r="S48" s="27"/>
      <c r="T48" s="4">
        <f t="shared" si="24"/>
        <v>70.5</v>
      </c>
      <c r="U48" s="20">
        <f t="shared" si="25"/>
        <v>0.17083333333333334</v>
      </c>
      <c r="V48" s="30">
        <f t="shared" si="30"/>
        <v>111.64650518006732</v>
      </c>
      <c r="W48" s="30">
        <f t="shared" si="26"/>
        <v>112.11634297271678</v>
      </c>
      <c r="Y48" s="13"/>
      <c r="Z48" s="13"/>
    </row>
    <row r="49" spans="1:26">
      <c r="A49" s="19">
        <f t="shared" si="27"/>
        <v>36526.791661392206</v>
      </c>
      <c r="B49" s="20">
        <f t="shared" si="28"/>
        <v>49.139329511258829</v>
      </c>
      <c r="C49" s="20">
        <f t="shared" si="19"/>
        <v>51</v>
      </c>
      <c r="D49" s="31">
        <f t="shared" si="14"/>
        <v>111.64650518006732</v>
      </c>
      <c r="E49" s="31">
        <f t="shared" si="15"/>
        <v>112.11634297271678</v>
      </c>
      <c r="F49" s="4">
        <f t="shared" si="20"/>
        <v>-1</v>
      </c>
      <c r="G49" s="4">
        <f t="shared" si="29"/>
        <v>-1</v>
      </c>
      <c r="H49" s="33">
        <f t="shared" si="11"/>
        <v>-36000</v>
      </c>
      <c r="I49" s="33">
        <v>0</v>
      </c>
      <c r="J49" s="33">
        <f t="shared" si="16"/>
        <v>-8103.0367028268556</v>
      </c>
      <c r="K49" s="33">
        <f t="shared" si="21"/>
        <v>27896.963297173144</v>
      </c>
      <c r="L49" s="33">
        <f t="shared" si="17"/>
        <v>-36000</v>
      </c>
      <c r="M49" s="33">
        <f t="shared" si="22"/>
        <v>-573.19200000000001</v>
      </c>
      <c r="N49" s="33">
        <f t="shared" si="18"/>
        <v>-72000</v>
      </c>
      <c r="O49" s="30">
        <f t="shared" si="23"/>
        <v>-45.942042881602674</v>
      </c>
      <c r="P49" s="27"/>
      <c r="Q49" s="27"/>
      <c r="R49" s="27"/>
      <c r="S49" s="27"/>
      <c r="T49" s="4">
        <f t="shared" si="24"/>
        <v>74.5</v>
      </c>
      <c r="U49" s="20">
        <f t="shared" si="25"/>
        <v>0.80855144547658997</v>
      </c>
      <c r="V49" s="30">
        <f t="shared" si="30"/>
        <v>-14.136688409515234</v>
      </c>
      <c r="W49" s="30">
        <f t="shared" si="26"/>
        <v>-13.66685061686578</v>
      </c>
      <c r="Y49" s="13"/>
      <c r="Z49" s="13"/>
    </row>
    <row r="50" spans="1:26">
      <c r="A50" s="19">
        <f t="shared" si="27"/>
        <v>36526.825351035768</v>
      </c>
      <c r="B50" s="20">
        <f t="shared" si="28"/>
        <v>48.330778065782241</v>
      </c>
      <c r="C50" s="20">
        <f t="shared" si="19"/>
        <v>51</v>
      </c>
      <c r="D50" s="31">
        <f t="shared" si="14"/>
        <v>-14.136688409515234</v>
      </c>
      <c r="E50" s="31">
        <f t="shared" si="15"/>
        <v>-13.66685061686578</v>
      </c>
      <c r="F50" s="4">
        <f t="shared" si="20"/>
        <v>0</v>
      </c>
      <c r="G50" s="4">
        <f t="shared" si="29"/>
        <v>1</v>
      </c>
      <c r="H50" s="33">
        <f t="shared" si="11"/>
        <v>36000</v>
      </c>
      <c r="I50" s="33">
        <v>0</v>
      </c>
      <c r="J50" s="33">
        <f t="shared" si="16"/>
        <v>63702.815341081856</v>
      </c>
      <c r="K50" s="33">
        <f t="shared" si="21"/>
        <v>27702.815341081856</v>
      </c>
      <c r="L50" s="33">
        <f t="shared" si="17"/>
        <v>36000</v>
      </c>
      <c r="M50" s="33">
        <f t="shared" si="22"/>
        <v>0</v>
      </c>
      <c r="N50" s="33">
        <f t="shared" si="18"/>
        <v>72000</v>
      </c>
      <c r="O50" s="30">
        <f t="shared" si="23"/>
        <v>51.768477580890249</v>
      </c>
      <c r="P50" s="27"/>
      <c r="Q50" s="27"/>
      <c r="R50" s="27"/>
      <c r="S50" s="27"/>
      <c r="T50" s="4">
        <f t="shared" si="24"/>
        <v>70.5</v>
      </c>
      <c r="U50" s="20">
        <f t="shared" si="25"/>
        <v>0.19166666666666662</v>
      </c>
      <c r="V50" s="30">
        <f t="shared" si="30"/>
        <v>111.13695819390685</v>
      </c>
      <c r="W50" s="30">
        <f t="shared" si="26"/>
        <v>111.13695819390685</v>
      </c>
      <c r="Y50" s="13"/>
      <c r="Z50" s="13"/>
    </row>
    <row r="51" spans="1:26">
      <c r="A51" s="19">
        <f t="shared" si="27"/>
        <v>36526.833337146876</v>
      </c>
      <c r="B51" s="20">
        <f t="shared" si="28"/>
        <v>48.330778065782241</v>
      </c>
      <c r="C51" s="20">
        <f t="shared" si="19"/>
        <v>50</v>
      </c>
      <c r="D51" s="31">
        <f t="shared" si="14"/>
        <v>111.13695819390685</v>
      </c>
      <c r="E51" s="31">
        <f t="shared" si="15"/>
        <v>111.13695819390685</v>
      </c>
      <c r="F51" s="4">
        <f t="shared" si="20"/>
        <v>-1</v>
      </c>
      <c r="G51" s="4">
        <f t="shared" si="29"/>
        <v>-1</v>
      </c>
      <c r="H51" s="33">
        <f t="shared" si="11"/>
        <v>-36000</v>
      </c>
      <c r="I51" s="33">
        <v>0</v>
      </c>
      <c r="J51" s="33">
        <f t="shared" si="16"/>
        <v>-8566.491922962472</v>
      </c>
      <c r="K51" s="33">
        <f t="shared" si="21"/>
        <v>27433.508077037528</v>
      </c>
      <c r="L51" s="33">
        <f t="shared" si="17"/>
        <v>-36000</v>
      </c>
      <c r="M51" s="33">
        <f t="shared" si="22"/>
        <v>-573.19200000000001</v>
      </c>
      <c r="N51" s="33">
        <f t="shared" si="18"/>
        <v>-72000</v>
      </c>
      <c r="O51" s="30">
        <f t="shared" si="23"/>
        <v>-48.979591836734812</v>
      </c>
      <c r="P51" s="27"/>
      <c r="Q51" s="27"/>
      <c r="R51" s="27"/>
      <c r="S51" s="27"/>
      <c r="T51" s="4">
        <f t="shared" si="24"/>
        <v>74.5</v>
      </c>
      <c r="U51" s="20">
        <f t="shared" si="25"/>
        <v>0.74800456312559638</v>
      </c>
      <c r="V51" s="30">
        <f t="shared" si="30"/>
        <v>-14.94523985499182</v>
      </c>
      <c r="W51" s="30">
        <f t="shared" si="26"/>
        <v>-14.475402062342368</v>
      </c>
      <c r="Y51" s="13"/>
      <c r="Z51" s="13"/>
    </row>
    <row r="52" spans="1:26">
      <c r="A52" s="19">
        <f t="shared" si="27"/>
        <v>36526.864504003672</v>
      </c>
      <c r="B52" s="20">
        <f t="shared" si="28"/>
        <v>47.582773502656643</v>
      </c>
      <c r="C52" s="20">
        <f t="shared" si="19"/>
        <v>50</v>
      </c>
      <c r="D52" s="31">
        <f t="shared" si="14"/>
        <v>-14.94523985499182</v>
      </c>
      <c r="E52" s="31">
        <f t="shared" si="15"/>
        <v>-14.475402062342368</v>
      </c>
      <c r="F52" s="4">
        <f t="shared" si="20"/>
        <v>-1</v>
      </c>
      <c r="G52" s="4">
        <f t="shared" si="29"/>
        <v>1</v>
      </c>
      <c r="H52" s="33">
        <f t="shared" si="11"/>
        <v>36000</v>
      </c>
      <c r="I52" s="33">
        <v>0</v>
      </c>
      <c r="J52" s="33">
        <f t="shared" si="16"/>
        <v>63004.757845490443</v>
      </c>
      <c r="K52" s="33">
        <f t="shared" si="21"/>
        <v>27004.75784549044</v>
      </c>
      <c r="L52" s="33">
        <f t="shared" si="17"/>
        <v>36000</v>
      </c>
      <c r="M52" s="33">
        <f t="shared" si="22"/>
        <v>-573.19200000000001</v>
      </c>
      <c r="N52" s="33">
        <f t="shared" si="18"/>
        <v>72000</v>
      </c>
      <c r="O52" s="30">
        <f t="shared" si="23"/>
        <v>51.792086416664745</v>
      </c>
      <c r="P52" s="27"/>
      <c r="Q52" s="27"/>
      <c r="R52" s="27"/>
      <c r="S52" s="27"/>
      <c r="T52" s="4">
        <f t="shared" si="24"/>
        <v>70.5</v>
      </c>
      <c r="U52" s="20">
        <f t="shared" si="25"/>
        <v>0.25194444444444447</v>
      </c>
      <c r="V52" s="30">
        <f t="shared" si="30"/>
        <v>109.9191158381318</v>
      </c>
      <c r="W52" s="30">
        <f t="shared" si="26"/>
        <v>110.38895363078126</v>
      </c>
      <c r="Y52" s="13"/>
      <c r="Z52" s="13"/>
    </row>
    <row r="53" spans="1:26">
      <c r="A53" s="19">
        <f t="shared" si="27"/>
        <v>36526.875001688859</v>
      </c>
      <c r="B53" s="20">
        <f t="shared" si="28"/>
        <v>47.330829058212196</v>
      </c>
      <c r="C53" s="20">
        <f t="shared" si="19"/>
        <v>48</v>
      </c>
      <c r="D53" s="31">
        <f t="shared" si="14"/>
        <v>109.9191158381318</v>
      </c>
      <c r="E53" s="31">
        <f t="shared" si="15"/>
        <v>110.38895363078126</v>
      </c>
      <c r="F53" s="4">
        <f t="shared" si="20"/>
        <v>-2</v>
      </c>
      <c r="G53" s="4">
        <f t="shared" si="29"/>
        <v>-1</v>
      </c>
      <c r="H53" s="33">
        <f t="shared" si="11"/>
        <v>-36000</v>
      </c>
      <c r="I53" s="33">
        <v>0</v>
      </c>
      <c r="J53" s="33">
        <f t="shared" si="16"/>
        <v>-9408.9619585538931</v>
      </c>
      <c r="K53" s="33">
        <f t="shared" si="21"/>
        <v>26591.038041446107</v>
      </c>
      <c r="L53" s="33">
        <f t="shared" si="17"/>
        <v>-36000</v>
      </c>
      <c r="M53" s="33">
        <f t="shared" si="22"/>
        <v>-1146.384</v>
      </c>
      <c r="N53" s="33">
        <f t="shared" si="18"/>
        <v>-72000</v>
      </c>
      <c r="O53" s="30">
        <f t="shared" si="23"/>
        <v>-45.973670255752268</v>
      </c>
      <c r="P53" s="27"/>
      <c r="Q53" s="27"/>
      <c r="R53" s="27"/>
      <c r="S53" s="27"/>
      <c r="T53" s="4">
        <f t="shared" si="24"/>
        <v>74.5</v>
      </c>
      <c r="U53" s="20">
        <f t="shared" si="25"/>
        <v>0.77042175752109177</v>
      </c>
      <c r="V53" s="30">
        <f t="shared" si="30"/>
        <v>-16.415026655211332</v>
      </c>
      <c r="W53" s="30">
        <f t="shared" si="26"/>
        <v>-15.475351069912413</v>
      </c>
      <c r="Y53" s="13"/>
      <c r="Z53" s="13"/>
    </row>
    <row r="54" spans="1:26">
      <c r="A54" s="19">
        <f t="shared" si="27"/>
        <v>36526.907102595425</v>
      </c>
      <c r="B54" s="20">
        <f t="shared" si="28"/>
        <v>45.789985543170012</v>
      </c>
      <c r="C54" s="20">
        <f t="shared" si="19"/>
        <v>48</v>
      </c>
      <c r="D54" s="31">
        <f t="shared" si="14"/>
        <v>-16.415026655211332</v>
      </c>
      <c r="E54" s="31">
        <f t="shared" si="15"/>
        <v>-15.475351069912413</v>
      </c>
      <c r="F54" s="4">
        <f t="shared" si="20"/>
        <v>-2</v>
      </c>
      <c r="G54" s="4">
        <f t="shared" si="29"/>
        <v>1</v>
      </c>
      <c r="H54" s="33">
        <f t="shared" si="11"/>
        <v>36000</v>
      </c>
      <c r="I54" s="33">
        <v>0</v>
      </c>
      <c r="J54" s="33">
        <f t="shared" si="16"/>
        <v>61707.838865372047</v>
      </c>
      <c r="K54" s="33">
        <f t="shared" si="21"/>
        <v>25707.838865372047</v>
      </c>
      <c r="L54" s="33">
        <f t="shared" si="17"/>
        <v>36000</v>
      </c>
      <c r="M54" s="33">
        <f t="shared" si="22"/>
        <v>-1146.384</v>
      </c>
      <c r="N54" s="33">
        <f t="shared" si="18"/>
        <v>72000</v>
      </c>
      <c r="O54" s="30">
        <f t="shared" si="23"/>
        <v>54.587098878921509</v>
      </c>
      <c r="P54" s="27"/>
      <c r="Q54" s="27"/>
      <c r="R54" s="27"/>
      <c r="S54" s="27"/>
      <c r="T54" s="4">
        <f t="shared" si="24"/>
        <v>70.5</v>
      </c>
      <c r="U54" s="20">
        <f t="shared" si="25"/>
        <v>0.2294444444444444</v>
      </c>
      <c r="V54" s="30">
        <f t="shared" si="30"/>
        <v>107.6564900859957</v>
      </c>
      <c r="W54" s="30">
        <f t="shared" si="26"/>
        <v>108.59616567129461</v>
      </c>
      <c r="Y54" s="13"/>
      <c r="Z54" s="13"/>
    </row>
    <row r="55" spans="1:26">
      <c r="A55" s="19">
        <f t="shared" si="27"/>
        <v>36526.916662780612</v>
      </c>
      <c r="B55" s="20">
        <f t="shared" si="28"/>
        <v>45.331096654281126</v>
      </c>
      <c r="C55" s="20">
        <f t="shared" si="19"/>
        <v>48</v>
      </c>
      <c r="D55" s="31">
        <f t="shared" si="14"/>
        <v>107.6564900859957</v>
      </c>
      <c r="E55" s="31">
        <f t="shared" si="15"/>
        <v>108.59616567129461</v>
      </c>
      <c r="F55" s="4">
        <f t="shared" si="20"/>
        <v>-2</v>
      </c>
      <c r="G55" s="4">
        <f t="shared" si="29"/>
        <v>-1</v>
      </c>
      <c r="H55" s="33">
        <f t="shared" si="11"/>
        <v>-36000</v>
      </c>
      <c r="I55" s="33">
        <v>0</v>
      </c>
      <c r="J55" s="33">
        <f t="shared" si="16"/>
        <v>-10555.192574627952</v>
      </c>
      <c r="K55" s="33">
        <f t="shared" si="21"/>
        <v>25444.807425372048</v>
      </c>
      <c r="L55" s="33">
        <f t="shared" si="17"/>
        <v>-36000</v>
      </c>
      <c r="M55" s="33">
        <f t="shared" si="22"/>
        <v>-1146.384</v>
      </c>
      <c r="N55" s="33">
        <f t="shared" si="18"/>
        <v>-72000</v>
      </c>
      <c r="O55" s="30">
        <f t="shared" si="23"/>
        <v>-42.950201980892302</v>
      </c>
      <c r="P55" s="27"/>
      <c r="Q55" s="27"/>
      <c r="R55" s="27"/>
      <c r="S55" s="27"/>
      <c r="T55" s="4">
        <f t="shared" si="24"/>
        <v>74.5</v>
      </c>
      <c r="U55" s="20">
        <f t="shared" si="25"/>
        <v>0.77197518420859501</v>
      </c>
      <c r="V55" s="30">
        <f t="shared" si="30"/>
        <v>-18.414759059142401</v>
      </c>
      <c r="W55" s="30">
        <f t="shared" si="26"/>
        <v>-17.475083473843483</v>
      </c>
      <c r="Y55" s="13"/>
      <c r="Z55" s="13"/>
    </row>
    <row r="56" spans="1:26">
      <c r="A56" s="19">
        <f t="shared" si="27"/>
        <v>36526.948828413289</v>
      </c>
      <c r="B56" s="20">
        <f t="shared" si="28"/>
        <v>43.787146285863933</v>
      </c>
      <c r="C56" s="20">
        <f t="shared" si="19"/>
        <v>46</v>
      </c>
      <c r="D56" s="31">
        <f t="shared" si="14"/>
        <v>-18.414759059142401</v>
      </c>
      <c r="E56" s="31">
        <f t="shared" si="15"/>
        <v>-17.475083473843483</v>
      </c>
      <c r="F56" s="4">
        <f t="shared" si="20"/>
        <v>-2</v>
      </c>
      <c r="G56" s="4">
        <f t="shared" si="29"/>
        <v>1</v>
      </c>
      <c r="H56" s="33">
        <f t="shared" si="11"/>
        <v>36000</v>
      </c>
      <c r="I56" s="33">
        <v>0</v>
      </c>
      <c r="J56" s="33">
        <f t="shared" si="16"/>
        <v>60559.827425798256</v>
      </c>
      <c r="K56" s="33">
        <f t="shared" si="21"/>
        <v>24559.827425798259</v>
      </c>
      <c r="L56" s="33">
        <f t="shared" si="17"/>
        <v>36000</v>
      </c>
      <c r="M56" s="33">
        <f t="shared" si="22"/>
        <v>-1146.384</v>
      </c>
      <c r="N56" s="33">
        <f t="shared" si="18"/>
        <v>72000</v>
      </c>
      <c r="O56" s="30">
        <f t="shared" si="23"/>
        <v>54.585887434363869</v>
      </c>
      <c r="P56" s="27"/>
      <c r="Q56" s="27"/>
      <c r="R56" s="27"/>
      <c r="S56" s="27"/>
      <c r="T56" s="4">
        <f t="shared" si="24"/>
        <v>70.5</v>
      </c>
      <c r="U56" s="20">
        <f t="shared" si="25"/>
        <v>0.22805555555555551</v>
      </c>
      <c r="V56" s="30">
        <f t="shared" si="30"/>
        <v>105.65365082868961</v>
      </c>
      <c r="W56" s="30">
        <f t="shared" si="26"/>
        <v>106.59332641398854</v>
      </c>
      <c r="Y56" s="13"/>
      <c r="Z56" s="13"/>
    </row>
    <row r="57" spans="1:26">
      <c r="A57" s="19">
        <f t="shared" si="27"/>
        <v>36526.958330728106</v>
      </c>
      <c r="B57" s="20">
        <f t="shared" si="28"/>
        <v>43.33103517475282</v>
      </c>
      <c r="C57" s="20">
        <f t="shared" si="19"/>
        <v>46</v>
      </c>
      <c r="D57" s="31">
        <f t="shared" si="14"/>
        <v>105.65365082868961</v>
      </c>
      <c r="E57" s="31">
        <f t="shared" si="15"/>
        <v>106.59332641398854</v>
      </c>
      <c r="F57" s="4">
        <f t="shared" si="20"/>
        <v>-2</v>
      </c>
      <c r="G57" s="4">
        <f t="shared" si="29"/>
        <v>-1</v>
      </c>
      <c r="H57" s="33">
        <f t="shared" si="11"/>
        <v>-36000</v>
      </c>
      <c r="I57" s="33">
        <v>0</v>
      </c>
      <c r="J57" s="33">
        <f t="shared" si="16"/>
        <v>-11701.61181420174</v>
      </c>
      <c r="K57" s="33">
        <f t="shared" si="21"/>
        <v>24298.38818579826</v>
      </c>
      <c r="L57" s="33">
        <f t="shared" si="17"/>
        <v>-36000</v>
      </c>
      <c r="M57" s="33">
        <f t="shared" si="22"/>
        <v>-1146.384</v>
      </c>
      <c r="N57" s="33">
        <f t="shared" si="18"/>
        <v>-72000</v>
      </c>
      <c r="O57" s="30">
        <f t="shared" si="23"/>
        <v>-42.949118851640492</v>
      </c>
      <c r="P57" s="27"/>
      <c r="Q57" s="27"/>
      <c r="R57" s="27"/>
      <c r="S57" s="27"/>
      <c r="T57" s="4">
        <f t="shared" si="24"/>
        <v>74.5</v>
      </c>
      <c r="U57" s="20">
        <f t="shared" si="25"/>
        <v>0.72536181560101221</v>
      </c>
      <c r="V57" s="30">
        <f t="shared" si="30"/>
        <v>-20.414820538670707</v>
      </c>
      <c r="W57" s="30">
        <f t="shared" si="26"/>
        <v>-19.475144953371789</v>
      </c>
      <c r="Y57" s="13"/>
      <c r="Z57" s="13"/>
    </row>
    <row r="58" spans="1:26">
      <c r="A58" s="19">
        <f t="shared" si="27"/>
        <v>36526.98855413709</v>
      </c>
      <c r="B58" s="20">
        <f t="shared" si="28"/>
        <v>41.880311543550796</v>
      </c>
      <c r="C58" s="20">
        <f t="shared" si="19"/>
        <v>44</v>
      </c>
      <c r="D58" s="31">
        <f t="shared" si="14"/>
        <v>-20.414820538670707</v>
      </c>
      <c r="E58" s="31">
        <f t="shared" si="15"/>
        <v>-19.475144953371789</v>
      </c>
      <c r="F58" s="4">
        <f t="shared" si="20"/>
        <v>-2</v>
      </c>
      <c r="G58" s="4">
        <f t="shared" si="29"/>
        <v>1</v>
      </c>
      <c r="H58" s="33">
        <f t="shared" si="11"/>
        <v>36000</v>
      </c>
      <c r="I58" s="33">
        <v>0</v>
      </c>
      <c r="J58" s="33">
        <f t="shared" si="16"/>
        <v>59466.84500618231</v>
      </c>
      <c r="K58" s="33">
        <f t="shared" si="21"/>
        <v>23466.84500618231</v>
      </c>
      <c r="L58" s="33">
        <f t="shared" si="17"/>
        <v>36000</v>
      </c>
      <c r="M58" s="33">
        <f t="shared" si="22"/>
        <v>-1146.384</v>
      </c>
      <c r="N58" s="33">
        <f t="shared" si="18"/>
        <v>72000</v>
      </c>
      <c r="O58" s="30">
        <f t="shared" si="23"/>
        <v>54.622239012566482</v>
      </c>
      <c r="P58" s="27"/>
      <c r="Q58" s="27"/>
      <c r="R58" s="27"/>
      <c r="S58" s="27"/>
      <c r="T58" s="4">
        <f t="shared" si="24"/>
        <v>70.5</v>
      </c>
      <c r="U58" s="20">
        <f t="shared" si="25"/>
        <v>0.2747222222222222</v>
      </c>
      <c r="V58" s="30">
        <f t="shared" si="30"/>
        <v>103.74681608637648</v>
      </c>
      <c r="W58" s="30">
        <f t="shared" si="26"/>
        <v>104.68649167167541</v>
      </c>
      <c r="Y58" s="13"/>
      <c r="Z58" s="13"/>
    </row>
    <row r="59" spans="1:26">
      <c r="A59" s="19">
        <f t="shared" si="27"/>
        <v>36527.000000896347</v>
      </c>
      <c r="B59" s="20">
        <f t="shared" si="28"/>
        <v>41.330867099106349</v>
      </c>
      <c r="C59" s="20">
        <f t="shared" si="19"/>
        <v>44</v>
      </c>
      <c r="D59" s="31">
        <f t="shared" si="14"/>
        <v>103.74681608637648</v>
      </c>
      <c r="E59" s="31">
        <f t="shared" si="15"/>
        <v>104.68649167167541</v>
      </c>
      <c r="F59" s="4">
        <f t="shared" si="20"/>
        <v>0</v>
      </c>
      <c r="G59" s="4">
        <f t="shared" si="29"/>
        <v>-1</v>
      </c>
      <c r="H59" s="33">
        <f t="shared" si="11"/>
        <v>-36000</v>
      </c>
      <c r="I59" s="33">
        <v>0</v>
      </c>
      <c r="J59" s="33">
        <f t="shared" si="16"/>
        <v>-12309.477625729032</v>
      </c>
      <c r="K59" s="33">
        <f t="shared" si="21"/>
        <v>23690.522374270968</v>
      </c>
      <c r="L59" s="33">
        <f t="shared" si="17"/>
        <v>-36000</v>
      </c>
      <c r="M59" s="33">
        <f t="shared" si="22"/>
        <v>0</v>
      </c>
      <c r="N59" s="33">
        <f t="shared" si="18"/>
        <v>-72000</v>
      </c>
      <c r="O59" s="30">
        <f t="shared" si="23"/>
        <v>-42.985511994497529</v>
      </c>
      <c r="P59" s="27"/>
      <c r="Q59" s="27"/>
      <c r="R59" s="27"/>
      <c r="S59" s="27"/>
      <c r="T59" s="4">
        <f t="shared" si="24"/>
        <v>74.5</v>
      </c>
      <c r="U59" s="20">
        <f t="shared" si="25"/>
        <v>0.68038775692889963</v>
      </c>
      <c r="V59" s="30">
        <f t="shared" si="30"/>
        <v>-21.475313029018256</v>
      </c>
      <c r="W59" s="30">
        <f t="shared" si="26"/>
        <v>-21.47531302901826</v>
      </c>
      <c r="Y59" s="13"/>
      <c r="Z59" s="13"/>
    </row>
    <row r="60" spans="1:26">
      <c r="A60" s="19">
        <f t="shared" si="27"/>
        <v>36527.028350386216</v>
      </c>
      <c r="B60" s="20">
        <f t="shared" si="28"/>
        <v>41.330867099106349</v>
      </c>
      <c r="C60" s="20">
        <f t="shared" si="19"/>
        <v>44</v>
      </c>
      <c r="D60" s="31">
        <f t="shared" si="14"/>
        <v>-21.475313029018256</v>
      </c>
      <c r="E60" s="31">
        <f t="shared" si="15"/>
        <v>-21.47531302901826</v>
      </c>
      <c r="F60" s="4">
        <f t="shared" si="20"/>
        <v>0</v>
      </c>
      <c r="G60" s="4">
        <f t="shared" si="29"/>
        <v>1</v>
      </c>
      <c r="H60" s="33">
        <f t="shared" si="11"/>
        <v>36000</v>
      </c>
      <c r="I60" s="33">
        <v>0</v>
      </c>
      <c r="J60" s="33">
        <f t="shared" si="16"/>
        <v>59690.522374270964</v>
      </c>
      <c r="K60" s="33">
        <f t="shared" si="21"/>
        <v>23690.522374270968</v>
      </c>
      <c r="L60" s="33">
        <f t="shared" si="17"/>
        <v>36000</v>
      </c>
      <c r="M60" s="33">
        <f t="shared" si="22"/>
        <v>0</v>
      </c>
      <c r="N60" s="33">
        <f t="shared" si="18"/>
        <v>72000</v>
      </c>
      <c r="O60" s="30">
        <f t="shared" si="23"/>
        <v>48.97959183673467</v>
      </c>
      <c r="P60" s="27"/>
      <c r="Q60" s="27"/>
      <c r="R60" s="27"/>
      <c r="S60" s="27"/>
      <c r="T60" s="4">
        <f t="shared" si="24"/>
        <v>70.5</v>
      </c>
      <c r="U60" s="20">
        <f t="shared" si="25"/>
        <v>0.31972222222222224</v>
      </c>
      <c r="V60" s="30">
        <f t="shared" si="30"/>
        <v>104.13704722723095</v>
      </c>
      <c r="W60" s="30">
        <f t="shared" si="26"/>
        <v>104.13704722723097</v>
      </c>
      <c r="Y60" s="13"/>
      <c r="Z60" s="13"/>
    </row>
    <row r="61" spans="1:26">
      <c r="A61" s="19">
        <f t="shared" si="27"/>
        <v>36527.041672145475</v>
      </c>
      <c r="B61" s="20">
        <f t="shared" si="28"/>
        <v>41.330867099106349</v>
      </c>
      <c r="C61" s="20">
        <f t="shared" si="19"/>
        <v>44</v>
      </c>
      <c r="D61" s="31">
        <f t="shared" si="14"/>
        <v>104.13704722723095</v>
      </c>
      <c r="E61" s="31">
        <f t="shared" si="15"/>
        <v>104.13704722723097</v>
      </c>
      <c r="F61" s="4">
        <f t="shared" si="20"/>
        <v>0</v>
      </c>
      <c r="G61" s="4">
        <f t="shared" si="29"/>
        <v>-1</v>
      </c>
      <c r="H61" s="33">
        <f t="shared" si="11"/>
        <v>-36000</v>
      </c>
      <c r="I61" s="33">
        <v>0</v>
      </c>
      <c r="J61" s="33">
        <f t="shared" si="16"/>
        <v>-12309.477625729032</v>
      </c>
      <c r="K61" s="33">
        <f t="shared" si="21"/>
        <v>23690.522374270968</v>
      </c>
      <c r="L61" s="33">
        <f t="shared" si="17"/>
        <v>-36000</v>
      </c>
      <c r="M61" s="33">
        <f t="shared" si="22"/>
        <v>0</v>
      </c>
      <c r="N61" s="33">
        <f t="shared" si="18"/>
        <v>-72000</v>
      </c>
      <c r="O61" s="30">
        <f t="shared" si="23"/>
        <v>-48.979591836734699</v>
      </c>
      <c r="P61" s="27"/>
      <c r="Q61" s="27"/>
      <c r="R61" s="27"/>
      <c r="S61" s="27"/>
      <c r="T61" s="4">
        <f t="shared" si="24"/>
        <v>74.5</v>
      </c>
      <c r="U61" s="20">
        <f t="shared" si="25"/>
        <v>0.60508971422263191</v>
      </c>
      <c r="V61" s="30">
        <f t="shared" si="30"/>
        <v>-21.475313029018256</v>
      </c>
      <c r="W61" s="30">
        <f t="shared" si="26"/>
        <v>-21.47531302901826</v>
      </c>
      <c r="Y61" s="13"/>
      <c r="Z61" s="13"/>
    </row>
    <row r="62" spans="1:26">
      <c r="A62" s="19">
        <f t="shared" si="27"/>
        <v>36527.066884216903</v>
      </c>
      <c r="B62" s="20">
        <f t="shared" si="28"/>
        <v>41.330867099106349</v>
      </c>
      <c r="C62" s="20">
        <f t="shared" si="19"/>
        <v>44</v>
      </c>
      <c r="D62" s="31">
        <f t="shared" si="14"/>
        <v>-21.475313029018256</v>
      </c>
      <c r="E62" s="31">
        <f t="shared" si="15"/>
        <v>-21.47531302901826</v>
      </c>
      <c r="F62" s="4">
        <f t="shared" si="20"/>
        <v>0</v>
      </c>
      <c r="G62" s="4">
        <f t="shared" si="29"/>
        <v>1</v>
      </c>
      <c r="H62" s="33">
        <f t="shared" si="11"/>
        <v>36000</v>
      </c>
      <c r="I62" s="33">
        <v>0</v>
      </c>
      <c r="J62" s="33">
        <f t="shared" si="16"/>
        <v>59690.522374270964</v>
      </c>
      <c r="K62" s="33">
        <f t="shared" si="21"/>
        <v>23690.522374270968</v>
      </c>
      <c r="L62" s="33">
        <f t="shared" si="17"/>
        <v>36000</v>
      </c>
      <c r="M62" s="33">
        <f t="shared" si="22"/>
        <v>0</v>
      </c>
      <c r="N62" s="33">
        <f t="shared" si="18"/>
        <v>72000</v>
      </c>
      <c r="O62" s="30">
        <f t="shared" si="23"/>
        <v>48.97959183673467</v>
      </c>
      <c r="P62" s="27"/>
      <c r="Q62" s="27"/>
      <c r="R62" s="27"/>
      <c r="S62" s="27"/>
      <c r="T62" s="4">
        <f t="shared" si="24"/>
        <v>70.5</v>
      </c>
      <c r="U62" s="20">
        <f t="shared" si="25"/>
        <v>0.39472222222222225</v>
      </c>
      <c r="V62" s="30">
        <f t="shared" si="30"/>
        <v>104.13704722723095</v>
      </c>
      <c r="W62" s="30">
        <f t="shared" si="26"/>
        <v>104.13704722723097</v>
      </c>
      <c r="Y62" s="13"/>
      <c r="Z62" s="13"/>
    </row>
    <row r="63" spans="1:26">
      <c r="A63" s="19">
        <f t="shared" si="27"/>
        <v>36527.083330976166</v>
      </c>
      <c r="B63" s="20">
        <f t="shared" si="28"/>
        <v>41.330867099106349</v>
      </c>
      <c r="C63" s="20">
        <f t="shared" si="19"/>
        <v>44</v>
      </c>
      <c r="D63" s="31">
        <f t="shared" si="14"/>
        <v>104.13704722723095</v>
      </c>
      <c r="E63" s="31">
        <f t="shared" si="15"/>
        <v>104.13704722723097</v>
      </c>
      <c r="F63" s="4">
        <f t="shared" si="20"/>
        <v>0</v>
      </c>
      <c r="G63" s="4">
        <f t="shared" si="29"/>
        <v>-1</v>
      </c>
      <c r="H63" s="33">
        <f t="shared" si="11"/>
        <v>-36000</v>
      </c>
      <c r="I63" s="33">
        <v>0</v>
      </c>
      <c r="J63" s="33">
        <f t="shared" si="16"/>
        <v>-12309.477625729032</v>
      </c>
      <c r="K63" s="33">
        <f t="shared" si="21"/>
        <v>23690.522374270968</v>
      </c>
      <c r="L63" s="33">
        <f t="shared" si="17"/>
        <v>-36000</v>
      </c>
      <c r="M63" s="33">
        <f t="shared" si="22"/>
        <v>0</v>
      </c>
      <c r="N63" s="33">
        <f t="shared" si="18"/>
        <v>-72000</v>
      </c>
      <c r="O63" s="30">
        <f t="shared" si="23"/>
        <v>-48.979591836734699</v>
      </c>
      <c r="P63" s="27"/>
      <c r="Q63" s="27"/>
      <c r="R63" s="27"/>
      <c r="S63" s="27"/>
      <c r="T63" s="4">
        <f t="shared" si="24"/>
        <v>74.5</v>
      </c>
      <c r="U63" s="20">
        <f t="shared" si="25"/>
        <v>0.60508971422263191</v>
      </c>
      <c r="V63" s="30">
        <f t="shared" si="30"/>
        <v>-21.475313029018256</v>
      </c>
      <c r="W63" s="30">
        <f t="shared" si="26"/>
        <v>-21.47531302901826</v>
      </c>
      <c r="Y63" s="13"/>
      <c r="Z63" s="13"/>
    </row>
    <row r="64" spans="1:26">
      <c r="A64" s="19">
        <f t="shared" si="27"/>
        <v>36527.108543047594</v>
      </c>
      <c r="B64" s="20">
        <f t="shared" si="28"/>
        <v>41.330867099106349</v>
      </c>
      <c r="C64" s="20">
        <f t="shared" si="19"/>
        <v>44</v>
      </c>
      <c r="D64" s="31">
        <f t="shared" si="14"/>
        <v>-21.475313029018256</v>
      </c>
      <c r="E64" s="31">
        <f t="shared" si="15"/>
        <v>-21.47531302901826</v>
      </c>
      <c r="F64" s="4">
        <f t="shared" si="20"/>
        <v>0</v>
      </c>
      <c r="G64" s="4">
        <f t="shared" si="29"/>
        <v>1</v>
      </c>
      <c r="H64" s="33">
        <f t="shared" si="11"/>
        <v>36000</v>
      </c>
      <c r="I64" s="33">
        <v>0</v>
      </c>
      <c r="J64" s="33">
        <f t="shared" si="16"/>
        <v>59690.522374270964</v>
      </c>
      <c r="K64" s="33">
        <f t="shared" si="21"/>
        <v>23690.522374270968</v>
      </c>
      <c r="L64" s="33">
        <f t="shared" si="17"/>
        <v>36000</v>
      </c>
      <c r="M64" s="33">
        <f t="shared" si="22"/>
        <v>0</v>
      </c>
      <c r="N64" s="33">
        <f t="shared" si="18"/>
        <v>72000</v>
      </c>
      <c r="O64" s="30">
        <f t="shared" si="23"/>
        <v>48.97959183673467</v>
      </c>
      <c r="P64" s="27"/>
      <c r="Q64" s="27"/>
      <c r="R64" s="27"/>
      <c r="S64" s="27"/>
      <c r="T64" s="4">
        <f t="shared" si="24"/>
        <v>70.5</v>
      </c>
      <c r="U64" s="20">
        <f t="shared" si="25"/>
        <v>0.39500000000000002</v>
      </c>
      <c r="V64" s="30">
        <f t="shared" si="30"/>
        <v>104.13704722723095</v>
      </c>
      <c r="W64" s="30">
        <f t="shared" si="26"/>
        <v>104.13704722723097</v>
      </c>
      <c r="Y64" s="13"/>
      <c r="Z64" s="13"/>
    </row>
    <row r="65" spans="1:26">
      <c r="A65" s="19">
        <f t="shared" si="27"/>
        <v>36527.125001380926</v>
      </c>
      <c r="B65" s="20">
        <f t="shared" si="28"/>
        <v>41.330867099106349</v>
      </c>
      <c r="C65" s="20">
        <f t="shared" si="19"/>
        <v>44</v>
      </c>
      <c r="D65" s="31">
        <f t="shared" si="14"/>
        <v>104.13704722723095</v>
      </c>
      <c r="E65" s="31">
        <f t="shared" si="15"/>
        <v>104.13704722723097</v>
      </c>
      <c r="F65" s="4">
        <f t="shared" si="20"/>
        <v>0</v>
      </c>
      <c r="G65" s="4">
        <f t="shared" si="29"/>
        <v>-1</v>
      </c>
      <c r="H65" s="33">
        <f t="shared" si="11"/>
        <v>-36000</v>
      </c>
      <c r="I65" s="33">
        <v>0</v>
      </c>
      <c r="J65" s="33">
        <f t="shared" si="16"/>
        <v>-12309.477625729032</v>
      </c>
      <c r="K65" s="33">
        <f t="shared" si="21"/>
        <v>23690.522374270968</v>
      </c>
      <c r="L65" s="33">
        <f t="shared" si="17"/>
        <v>-36000</v>
      </c>
      <c r="M65" s="33">
        <f t="shared" si="22"/>
        <v>0</v>
      </c>
      <c r="N65" s="33">
        <f t="shared" si="18"/>
        <v>-72000</v>
      </c>
      <c r="O65" s="30">
        <f t="shared" si="23"/>
        <v>-48.979591836734699</v>
      </c>
      <c r="P65" s="27"/>
      <c r="Q65" s="27"/>
      <c r="R65" s="27"/>
      <c r="S65" s="27"/>
      <c r="T65" s="4">
        <f t="shared" si="24"/>
        <v>74.5</v>
      </c>
      <c r="U65" s="20">
        <f t="shared" si="25"/>
        <v>0.60508971422263191</v>
      </c>
      <c r="V65" s="30">
        <f t="shared" si="30"/>
        <v>-21.475313029018256</v>
      </c>
      <c r="W65" s="30">
        <f t="shared" si="26"/>
        <v>-21.47531302901826</v>
      </c>
      <c r="Y65" s="13"/>
      <c r="Z65" s="13"/>
    </row>
    <row r="66" spans="1:26">
      <c r="A66" s="19">
        <f t="shared" si="27"/>
        <v>36527.150213452354</v>
      </c>
      <c r="B66" s="20">
        <f t="shared" si="28"/>
        <v>41.330867099106349</v>
      </c>
      <c r="C66" s="20">
        <f t="shared" si="19"/>
        <v>44</v>
      </c>
      <c r="D66" s="31">
        <f t="shared" si="14"/>
        <v>-21.475313029018256</v>
      </c>
      <c r="E66" s="31">
        <f t="shared" si="15"/>
        <v>-21.47531302901826</v>
      </c>
      <c r="F66" s="4">
        <f t="shared" si="20"/>
        <v>0</v>
      </c>
      <c r="G66" s="4">
        <f t="shared" si="29"/>
        <v>1</v>
      </c>
      <c r="H66" s="33">
        <f t="shared" si="11"/>
        <v>36000</v>
      </c>
      <c r="I66" s="33">
        <v>0</v>
      </c>
      <c r="J66" s="33">
        <f t="shared" si="16"/>
        <v>59690.522374270964</v>
      </c>
      <c r="K66" s="33">
        <f t="shared" si="21"/>
        <v>23690.522374270968</v>
      </c>
      <c r="L66" s="33">
        <f t="shared" si="17"/>
        <v>36000</v>
      </c>
      <c r="M66" s="33">
        <f t="shared" si="22"/>
        <v>0</v>
      </c>
      <c r="N66" s="33">
        <f t="shared" si="18"/>
        <v>72000</v>
      </c>
      <c r="O66" s="30">
        <f t="shared" si="23"/>
        <v>48.97959183673467</v>
      </c>
      <c r="P66" s="27"/>
      <c r="Q66" s="27"/>
      <c r="R66" s="27"/>
      <c r="S66" s="27"/>
      <c r="T66" s="4">
        <f t="shared" si="24"/>
        <v>70.5</v>
      </c>
      <c r="U66" s="20">
        <f t="shared" si="25"/>
        <v>0.39500000000000002</v>
      </c>
      <c r="V66" s="30">
        <f t="shared" si="30"/>
        <v>104.13704722723095</v>
      </c>
      <c r="W66" s="30">
        <f t="shared" si="26"/>
        <v>104.13704722723097</v>
      </c>
      <c r="Y66" s="13"/>
      <c r="Z66" s="13"/>
    </row>
    <row r="67" spans="1:26">
      <c r="A67" s="19">
        <f t="shared" si="27"/>
        <v>36527.166671785686</v>
      </c>
      <c r="B67" s="20">
        <f t="shared" si="28"/>
        <v>41.330867099106349</v>
      </c>
      <c r="C67" s="20">
        <f t="shared" si="19"/>
        <v>44</v>
      </c>
      <c r="D67" s="31">
        <f t="shared" si="14"/>
        <v>104.13704722723095</v>
      </c>
      <c r="E67" s="31">
        <f t="shared" si="15"/>
        <v>104.13704722723097</v>
      </c>
      <c r="F67" s="4">
        <f t="shared" si="20"/>
        <v>0</v>
      </c>
      <c r="G67" s="4">
        <f t="shared" si="29"/>
        <v>-1</v>
      </c>
      <c r="H67" s="33">
        <f t="shared" si="11"/>
        <v>-36000</v>
      </c>
      <c r="I67" s="33">
        <v>0</v>
      </c>
      <c r="J67" s="33">
        <f t="shared" si="16"/>
        <v>-12309.477625729032</v>
      </c>
      <c r="K67" s="33">
        <f t="shared" si="21"/>
        <v>23690.522374270968</v>
      </c>
      <c r="L67" s="33">
        <f t="shared" si="17"/>
        <v>-36000</v>
      </c>
      <c r="M67" s="33">
        <f t="shared" si="22"/>
        <v>0</v>
      </c>
      <c r="N67" s="33">
        <f t="shared" si="18"/>
        <v>-72000</v>
      </c>
      <c r="O67" s="30">
        <f t="shared" si="23"/>
        <v>-48.979591836734699</v>
      </c>
      <c r="P67" s="27"/>
      <c r="Q67" s="27"/>
      <c r="R67" s="27"/>
      <c r="S67" s="27"/>
      <c r="T67" s="4">
        <f t="shared" si="24"/>
        <v>74.5</v>
      </c>
      <c r="U67" s="20">
        <f t="shared" si="25"/>
        <v>0.60508971422263191</v>
      </c>
      <c r="V67" s="30">
        <f t="shared" si="30"/>
        <v>-21.475313029018256</v>
      </c>
      <c r="W67" s="30">
        <f t="shared" si="26"/>
        <v>-21.47531302901826</v>
      </c>
      <c r="Y67" s="13"/>
      <c r="Z67" s="13"/>
    </row>
    <row r="68" spans="1:26">
      <c r="A68" s="19">
        <f t="shared" si="27"/>
        <v>36527.191883857115</v>
      </c>
      <c r="B68" s="20">
        <f t="shared" si="28"/>
        <v>41.330867099106349</v>
      </c>
      <c r="C68" s="20">
        <f t="shared" si="19"/>
        <v>44</v>
      </c>
      <c r="D68" s="31">
        <f t="shared" si="14"/>
        <v>-21.475313029018256</v>
      </c>
      <c r="E68" s="31">
        <f t="shared" si="15"/>
        <v>-21.47531302901826</v>
      </c>
      <c r="F68" s="4">
        <f t="shared" si="20"/>
        <v>0</v>
      </c>
      <c r="G68" s="4">
        <f t="shared" si="29"/>
        <v>1</v>
      </c>
      <c r="H68" s="33">
        <f t="shared" si="11"/>
        <v>36000</v>
      </c>
      <c r="I68" s="33">
        <v>0</v>
      </c>
      <c r="J68" s="33">
        <f t="shared" si="16"/>
        <v>59690.522374270964</v>
      </c>
      <c r="K68" s="33">
        <f t="shared" si="21"/>
        <v>23690.522374270968</v>
      </c>
      <c r="L68" s="33">
        <f t="shared" si="17"/>
        <v>36000</v>
      </c>
      <c r="M68" s="33">
        <f t="shared" si="22"/>
        <v>0</v>
      </c>
      <c r="N68" s="33">
        <f t="shared" si="18"/>
        <v>72000</v>
      </c>
      <c r="O68" s="30">
        <f t="shared" si="23"/>
        <v>48.97959183673467</v>
      </c>
      <c r="P68" s="27"/>
      <c r="Q68" s="27"/>
      <c r="R68" s="27"/>
      <c r="S68" s="27"/>
      <c r="T68" s="4">
        <f t="shared" si="24"/>
        <v>70.5</v>
      </c>
      <c r="U68" s="20">
        <f t="shared" si="25"/>
        <v>0.39472222222222225</v>
      </c>
      <c r="V68" s="30">
        <f t="shared" si="30"/>
        <v>104.13704722723095</v>
      </c>
      <c r="W68" s="30">
        <f t="shared" si="26"/>
        <v>104.13704722723097</v>
      </c>
      <c r="Y68" s="13"/>
      <c r="Z68" s="13"/>
    </row>
    <row r="69" spans="1:26">
      <c r="A69" s="19">
        <f t="shared" si="27"/>
        <v>36527.208330616377</v>
      </c>
      <c r="B69" s="20">
        <f t="shared" si="28"/>
        <v>41.330867099106349</v>
      </c>
      <c r="C69" s="20">
        <f t="shared" si="19"/>
        <v>44</v>
      </c>
      <c r="D69" s="31">
        <f t="shared" si="14"/>
        <v>104.13704722723095</v>
      </c>
      <c r="E69" s="31">
        <f t="shared" si="15"/>
        <v>104.13704722723097</v>
      </c>
      <c r="F69" s="4">
        <f t="shared" si="20"/>
        <v>0</v>
      </c>
      <c r="G69" s="4">
        <f t="shared" si="29"/>
        <v>-1</v>
      </c>
      <c r="H69" s="33">
        <f t="shared" si="11"/>
        <v>-36000</v>
      </c>
      <c r="I69" s="33">
        <v>0</v>
      </c>
      <c r="J69" s="33">
        <f t="shared" si="16"/>
        <v>-12309.477625729032</v>
      </c>
      <c r="K69" s="33">
        <f t="shared" si="21"/>
        <v>23690.522374270968</v>
      </c>
      <c r="L69" s="33">
        <f t="shared" si="17"/>
        <v>-36000</v>
      </c>
      <c r="M69" s="33">
        <f t="shared" si="22"/>
        <v>0</v>
      </c>
      <c r="N69" s="33">
        <f t="shared" si="18"/>
        <v>-72000</v>
      </c>
      <c r="O69" s="30">
        <f t="shared" si="23"/>
        <v>-48.979591836734699</v>
      </c>
      <c r="P69" s="27"/>
      <c r="Q69" s="27"/>
      <c r="R69" s="27"/>
      <c r="S69" s="27"/>
      <c r="T69" s="4">
        <f t="shared" si="24"/>
        <v>74.5</v>
      </c>
      <c r="U69" s="20">
        <f t="shared" si="25"/>
        <v>0.60508971422263191</v>
      </c>
      <c r="V69" s="30">
        <f t="shared" si="30"/>
        <v>-21.475313029018256</v>
      </c>
      <c r="W69" s="30">
        <f t="shared" si="26"/>
        <v>-21.47531302901826</v>
      </c>
      <c r="Y69" s="13"/>
      <c r="Z69" s="13"/>
    </row>
    <row r="70" spans="1:26">
      <c r="A70" s="19">
        <f t="shared" si="27"/>
        <v>36527.233542687805</v>
      </c>
      <c r="B70" s="20">
        <f t="shared" si="28"/>
        <v>41.330867099106349</v>
      </c>
      <c r="C70" s="20">
        <f t="shared" si="19"/>
        <v>44</v>
      </c>
      <c r="D70" s="31">
        <f t="shared" si="14"/>
        <v>-21.475313029018256</v>
      </c>
      <c r="E70" s="31">
        <f t="shared" si="15"/>
        <v>-21.47531302901826</v>
      </c>
      <c r="F70" s="4">
        <f t="shared" si="20"/>
        <v>0</v>
      </c>
      <c r="G70" s="4">
        <f t="shared" si="29"/>
        <v>1</v>
      </c>
      <c r="H70" s="33">
        <f t="shared" si="11"/>
        <v>36000</v>
      </c>
      <c r="I70" s="33">
        <v>0</v>
      </c>
      <c r="J70" s="33">
        <f t="shared" si="16"/>
        <v>59690.522374270964</v>
      </c>
      <c r="K70" s="33">
        <f t="shared" si="21"/>
        <v>23690.522374270968</v>
      </c>
      <c r="L70" s="33">
        <f t="shared" si="17"/>
        <v>36000</v>
      </c>
      <c r="M70" s="33">
        <f t="shared" si="22"/>
        <v>0</v>
      </c>
      <c r="N70" s="33">
        <f t="shared" si="18"/>
        <v>72000</v>
      </c>
      <c r="O70" s="30">
        <f t="shared" si="23"/>
        <v>48.97959183673467</v>
      </c>
      <c r="P70" s="27"/>
      <c r="Q70" s="27"/>
      <c r="R70" s="27"/>
      <c r="S70" s="27"/>
      <c r="T70" s="4">
        <f t="shared" si="24"/>
        <v>70.5</v>
      </c>
      <c r="U70" s="20">
        <f t="shared" si="25"/>
        <v>0.39500000000000002</v>
      </c>
      <c r="V70" s="30">
        <f t="shared" si="30"/>
        <v>104.13704722723095</v>
      </c>
      <c r="W70" s="30">
        <f t="shared" si="26"/>
        <v>104.13704722723097</v>
      </c>
      <c r="Y70" s="13"/>
      <c r="Z70" s="13"/>
    </row>
    <row r="71" spans="1:26">
      <c r="A71" s="19">
        <f t="shared" si="27"/>
        <v>36527.250001021137</v>
      </c>
      <c r="B71" s="20">
        <f t="shared" si="28"/>
        <v>41.330867099106349</v>
      </c>
      <c r="C71" s="20">
        <f t="shared" si="19"/>
        <v>44</v>
      </c>
      <c r="D71" s="31">
        <f t="shared" si="14"/>
        <v>104.13704722723095</v>
      </c>
      <c r="E71" s="31">
        <f t="shared" si="15"/>
        <v>104.13704722723097</v>
      </c>
      <c r="F71" s="4">
        <f t="shared" si="20"/>
        <v>0</v>
      </c>
      <c r="G71" s="4">
        <f t="shared" si="29"/>
        <v>-1</v>
      </c>
      <c r="H71" s="33">
        <f t="shared" si="11"/>
        <v>-36000</v>
      </c>
      <c r="I71" s="33">
        <v>0</v>
      </c>
      <c r="J71" s="33">
        <f t="shared" si="16"/>
        <v>-12309.477625729032</v>
      </c>
      <c r="K71" s="33">
        <f t="shared" si="21"/>
        <v>23690.522374270968</v>
      </c>
      <c r="L71" s="33">
        <f t="shared" si="17"/>
        <v>-36000</v>
      </c>
      <c r="M71" s="33">
        <f t="shared" si="22"/>
        <v>0</v>
      </c>
      <c r="N71" s="33">
        <f t="shared" si="18"/>
        <v>-72000</v>
      </c>
      <c r="O71" s="30">
        <f t="shared" si="23"/>
        <v>-48.979591836734699</v>
      </c>
      <c r="P71" s="27"/>
      <c r="Q71" s="27"/>
      <c r="R71" s="27"/>
      <c r="S71" s="27"/>
      <c r="T71" s="4">
        <f t="shared" si="24"/>
        <v>74.5</v>
      </c>
      <c r="U71" s="20">
        <f t="shared" si="25"/>
        <v>0.60508971422263191</v>
      </c>
      <c r="V71" s="30">
        <f t="shared" si="30"/>
        <v>-21.475313029018256</v>
      </c>
      <c r="W71" s="30">
        <f t="shared" si="26"/>
        <v>-21.47531302901826</v>
      </c>
      <c r="Y71" s="13"/>
      <c r="Z71" s="13"/>
    </row>
    <row r="72" spans="1:26">
      <c r="A72" s="19">
        <f t="shared" si="27"/>
        <v>36527.275213092566</v>
      </c>
      <c r="B72" s="20">
        <f t="shared" si="28"/>
        <v>41.330867099106349</v>
      </c>
      <c r="C72" s="20">
        <f t="shared" si="19"/>
        <v>44</v>
      </c>
      <c r="D72" s="31">
        <f t="shared" si="14"/>
        <v>-21.475313029018256</v>
      </c>
      <c r="E72" s="31">
        <f t="shared" si="15"/>
        <v>-21.47531302901826</v>
      </c>
      <c r="F72" s="4">
        <f t="shared" si="20"/>
        <v>0</v>
      </c>
      <c r="G72" s="4">
        <f t="shared" si="29"/>
        <v>1</v>
      </c>
      <c r="H72" s="33">
        <f t="shared" si="11"/>
        <v>36000</v>
      </c>
      <c r="I72" s="33">
        <v>0</v>
      </c>
      <c r="J72" s="33">
        <f t="shared" si="16"/>
        <v>59690.522374270964</v>
      </c>
      <c r="K72" s="33">
        <f t="shared" si="21"/>
        <v>23690.522374270968</v>
      </c>
      <c r="L72" s="33">
        <f t="shared" si="17"/>
        <v>36000</v>
      </c>
      <c r="M72" s="33">
        <f t="shared" si="22"/>
        <v>0</v>
      </c>
      <c r="N72" s="33">
        <f t="shared" si="18"/>
        <v>72000</v>
      </c>
      <c r="O72" s="30">
        <f t="shared" si="23"/>
        <v>48.97959183673467</v>
      </c>
      <c r="P72" s="27"/>
      <c r="Q72" s="27"/>
      <c r="R72" s="27"/>
      <c r="S72" s="27"/>
      <c r="T72" s="4">
        <f t="shared" si="24"/>
        <v>70.5</v>
      </c>
      <c r="U72" s="20">
        <f t="shared" si="25"/>
        <v>0.39500000000000002</v>
      </c>
      <c r="V72" s="30">
        <f t="shared" si="30"/>
        <v>104.13704722723095</v>
      </c>
      <c r="W72" s="30">
        <f t="shared" si="26"/>
        <v>104.13704722723097</v>
      </c>
      <c r="Y72" s="13"/>
      <c r="Z72" s="13"/>
    </row>
    <row r="73" spans="1:26">
      <c r="A73" s="19">
        <f t="shared" si="27"/>
        <v>36527.291671425897</v>
      </c>
      <c r="B73" s="20">
        <f t="shared" si="28"/>
        <v>41.330867099106349</v>
      </c>
      <c r="C73" s="20">
        <f t="shared" si="19"/>
        <v>44</v>
      </c>
      <c r="D73" s="31">
        <f t="shared" si="14"/>
        <v>104.13704722723095</v>
      </c>
      <c r="E73" s="31">
        <f t="shared" si="15"/>
        <v>104.13704722723097</v>
      </c>
      <c r="F73" s="4">
        <f t="shared" si="20"/>
        <v>0</v>
      </c>
      <c r="G73" s="4">
        <f t="shared" si="29"/>
        <v>-1</v>
      </c>
      <c r="H73" s="33">
        <f t="shared" si="11"/>
        <v>-36000</v>
      </c>
      <c r="I73" s="33">
        <v>0</v>
      </c>
      <c r="J73" s="33">
        <f t="shared" si="16"/>
        <v>-12309.477625729032</v>
      </c>
      <c r="K73" s="33">
        <f t="shared" si="21"/>
        <v>23690.522374270968</v>
      </c>
      <c r="L73" s="33">
        <f t="shared" si="17"/>
        <v>-36000</v>
      </c>
      <c r="M73" s="33">
        <f t="shared" si="22"/>
        <v>0</v>
      </c>
      <c r="N73" s="33">
        <f t="shared" si="18"/>
        <v>-72000</v>
      </c>
      <c r="O73" s="30">
        <f t="shared" si="23"/>
        <v>-48.979591836734699</v>
      </c>
      <c r="P73" s="27"/>
      <c r="Q73" s="27"/>
      <c r="R73" s="27"/>
      <c r="S73" s="27"/>
      <c r="T73" s="4">
        <f t="shared" si="24"/>
        <v>74.5</v>
      </c>
      <c r="U73" s="20">
        <f t="shared" ref="U73" si="31">MIN((T73-D73)/O73,1-MINUTE(A73)/60-SECOND(A73)/3600)</f>
        <v>0.60508971422263191</v>
      </c>
      <c r="V73" s="30">
        <f t="shared" si="30"/>
        <v>-21.475313029018256</v>
      </c>
      <c r="W73" s="30">
        <f t="shared" si="26"/>
        <v>-21.47531302901826</v>
      </c>
      <c r="Y73" s="13"/>
      <c r="Z73" s="13"/>
    </row>
  </sheetData>
  <mergeCells count="6">
    <mergeCell ref="D1:G1"/>
    <mergeCell ref="I1:L1"/>
    <mergeCell ref="N1:P1"/>
    <mergeCell ref="H7:P7"/>
    <mergeCell ref="B7:F7"/>
    <mergeCell ref="A1:B1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7"/>
  <sheetViews>
    <sheetView workbookViewId="0">
      <selection sqref="A1:C27"/>
    </sheetView>
  </sheetViews>
  <sheetFormatPr baseColWidth="10" defaultRowHeight="15" x14ac:dyDescent="0"/>
  <cols>
    <col min="1" max="1" width="11.83203125" style="1" bestFit="1" customWidth="1"/>
    <col min="2" max="3" width="10.83203125" style="1"/>
  </cols>
  <sheetData>
    <row r="1" spans="1:3">
      <c r="A1" s="3" t="s">
        <v>1</v>
      </c>
      <c r="B1" s="3" t="s">
        <v>8</v>
      </c>
      <c r="C1" s="3" t="s">
        <v>9</v>
      </c>
    </row>
    <row r="2" spans="1:3">
      <c r="A2" s="2">
        <v>36526</v>
      </c>
      <c r="B2" s="1">
        <v>50</v>
      </c>
      <c r="C2" s="1">
        <f>B3</f>
        <v>48</v>
      </c>
    </row>
    <row r="3" spans="1:3">
      <c r="A3" s="2">
        <f t="shared" ref="A3:A10" si="0">A2+1/24</f>
        <v>36526.041666666664</v>
      </c>
      <c r="B3" s="1">
        <v>48</v>
      </c>
      <c r="C3" s="1">
        <f t="shared" ref="C3:C26" si="1">B4</f>
        <v>46</v>
      </c>
    </row>
    <row r="4" spans="1:3">
      <c r="A4" s="2">
        <f t="shared" si="0"/>
        <v>36526.083333333328</v>
      </c>
      <c r="B4" s="1">
        <v>46</v>
      </c>
      <c r="C4" s="1">
        <f t="shared" si="1"/>
        <v>44</v>
      </c>
    </row>
    <row r="5" spans="1:3">
      <c r="A5" s="2">
        <f t="shared" si="0"/>
        <v>36526.124999999993</v>
      </c>
      <c r="B5" s="1">
        <v>44</v>
      </c>
      <c r="C5" s="1">
        <f t="shared" si="1"/>
        <v>42</v>
      </c>
    </row>
    <row r="6" spans="1:3">
      <c r="A6" s="2">
        <f t="shared" si="0"/>
        <v>36526.166666666657</v>
      </c>
      <c r="B6" s="1">
        <v>42</v>
      </c>
      <c r="C6" s="1">
        <f t="shared" si="1"/>
        <v>41</v>
      </c>
    </row>
    <row r="7" spans="1:3">
      <c r="A7" s="2">
        <f t="shared" si="0"/>
        <v>36526.208333333321</v>
      </c>
      <c r="B7" s="1">
        <v>41</v>
      </c>
      <c r="C7" s="1">
        <f t="shared" si="1"/>
        <v>40</v>
      </c>
    </row>
    <row r="8" spans="1:3">
      <c r="A8" s="2">
        <f t="shared" si="0"/>
        <v>36526.249999999985</v>
      </c>
      <c r="B8" s="1">
        <v>40</v>
      </c>
      <c r="C8" s="1">
        <f t="shared" si="1"/>
        <v>40</v>
      </c>
    </row>
    <row r="9" spans="1:3">
      <c r="A9" s="2">
        <f t="shared" si="0"/>
        <v>36526.29166666665</v>
      </c>
      <c r="B9" s="1">
        <v>40</v>
      </c>
      <c r="C9" s="1">
        <f t="shared" si="1"/>
        <v>42</v>
      </c>
    </row>
    <row r="10" spans="1:3">
      <c r="A10" s="2">
        <f t="shared" si="0"/>
        <v>36526.333333333314</v>
      </c>
      <c r="B10" s="1">
        <v>42</v>
      </c>
      <c r="C10" s="1">
        <f t="shared" si="1"/>
        <v>45</v>
      </c>
    </row>
    <row r="11" spans="1:3">
      <c r="A11" s="2">
        <f t="shared" ref="A11:A22" si="2">A10+1/24</f>
        <v>36526.374999999978</v>
      </c>
      <c r="B11" s="1">
        <v>45</v>
      </c>
      <c r="C11" s="1">
        <f t="shared" si="1"/>
        <v>48</v>
      </c>
    </row>
    <row r="12" spans="1:3">
      <c r="A12" s="2">
        <f t="shared" si="2"/>
        <v>36526.416666666642</v>
      </c>
      <c r="B12" s="1">
        <v>48</v>
      </c>
      <c r="C12" s="1">
        <f t="shared" si="1"/>
        <v>50</v>
      </c>
    </row>
    <row r="13" spans="1:3">
      <c r="A13" s="2">
        <f t="shared" si="2"/>
        <v>36526.458333333307</v>
      </c>
      <c r="B13" s="1">
        <v>50</v>
      </c>
      <c r="C13" s="1">
        <f t="shared" si="1"/>
        <v>52</v>
      </c>
    </row>
    <row r="14" spans="1:3">
      <c r="A14" s="2">
        <f t="shared" si="2"/>
        <v>36526.499999999971</v>
      </c>
      <c r="B14" s="1">
        <v>52</v>
      </c>
      <c r="C14" s="1">
        <f t="shared" si="1"/>
        <v>53</v>
      </c>
    </row>
    <row r="15" spans="1:3">
      <c r="A15" s="2">
        <f t="shared" si="2"/>
        <v>36526.541666666635</v>
      </c>
      <c r="B15" s="1">
        <v>53</v>
      </c>
      <c r="C15" s="1">
        <f t="shared" si="1"/>
        <v>55</v>
      </c>
    </row>
    <row r="16" spans="1:3">
      <c r="A16" s="2">
        <f t="shared" si="2"/>
        <v>36526.583333333299</v>
      </c>
      <c r="B16" s="1">
        <v>55</v>
      </c>
      <c r="C16" s="1">
        <f t="shared" si="1"/>
        <v>56</v>
      </c>
    </row>
    <row r="17" spans="1:3">
      <c r="A17" s="2">
        <f t="shared" si="2"/>
        <v>36526.624999999964</v>
      </c>
      <c r="B17" s="1">
        <v>56</v>
      </c>
      <c r="C17" s="1">
        <f t="shared" si="1"/>
        <v>55</v>
      </c>
    </row>
    <row r="18" spans="1:3">
      <c r="A18" s="2">
        <f t="shared" si="2"/>
        <v>36526.666666666628</v>
      </c>
      <c r="B18" s="1">
        <v>55</v>
      </c>
      <c r="C18" s="1">
        <f t="shared" si="1"/>
        <v>53</v>
      </c>
    </row>
    <row r="19" spans="1:3">
      <c r="A19" s="2">
        <f t="shared" si="2"/>
        <v>36526.708333333292</v>
      </c>
      <c r="B19" s="1">
        <v>53</v>
      </c>
      <c r="C19" s="1">
        <f t="shared" si="1"/>
        <v>52</v>
      </c>
    </row>
    <row r="20" spans="1:3">
      <c r="A20" s="2">
        <f t="shared" si="2"/>
        <v>36526.749999999956</v>
      </c>
      <c r="B20" s="1">
        <v>52</v>
      </c>
      <c r="C20" s="1">
        <f t="shared" si="1"/>
        <v>51</v>
      </c>
    </row>
    <row r="21" spans="1:3">
      <c r="A21" s="2">
        <f t="shared" si="2"/>
        <v>36526.791666666621</v>
      </c>
      <c r="B21" s="1">
        <v>51</v>
      </c>
      <c r="C21" s="1">
        <f t="shared" si="1"/>
        <v>51</v>
      </c>
    </row>
    <row r="22" spans="1:3">
      <c r="A22" s="2">
        <f t="shared" si="2"/>
        <v>36526.833333333285</v>
      </c>
      <c r="B22" s="1">
        <v>51</v>
      </c>
      <c r="C22" s="1">
        <f t="shared" si="1"/>
        <v>50</v>
      </c>
    </row>
    <row r="23" spans="1:3">
      <c r="A23" s="2">
        <f>A22+1/24</f>
        <v>36526.874999999949</v>
      </c>
      <c r="B23" s="1">
        <v>50</v>
      </c>
      <c r="C23" s="1">
        <f t="shared" si="1"/>
        <v>48</v>
      </c>
    </row>
    <row r="24" spans="1:3">
      <c r="A24" s="2">
        <f>A23+1/24</f>
        <v>36526.916666666613</v>
      </c>
      <c r="B24" s="1">
        <v>48</v>
      </c>
      <c r="C24" s="1">
        <f t="shared" si="1"/>
        <v>46</v>
      </c>
    </row>
    <row r="25" spans="1:3">
      <c r="A25" s="2">
        <f>A24+1/24</f>
        <v>36526.958333333278</v>
      </c>
      <c r="B25" s="1">
        <v>46</v>
      </c>
      <c r="C25" s="1">
        <f t="shared" si="1"/>
        <v>44</v>
      </c>
    </row>
    <row r="26" spans="1:3">
      <c r="A26" s="2">
        <f>A25+1/24</f>
        <v>36526.999999999942</v>
      </c>
      <c r="B26" s="1">
        <v>44</v>
      </c>
      <c r="C26" s="1">
        <f t="shared" si="1"/>
        <v>44</v>
      </c>
    </row>
    <row r="27" spans="1:3">
      <c r="A27" s="2">
        <f>A26+1/24</f>
        <v>36527.041666666606</v>
      </c>
      <c r="B27" s="1">
        <v>44</v>
      </c>
      <c r="C27" s="1">
        <v>44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House</vt:lpstr>
      <vt:lpstr>Weather</vt:lpstr>
    </vt:vector>
  </TitlesOfParts>
  <Company>PNNL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Chassin, David P</dc:creator>
  <cp:lastModifiedBy>David Chassin</cp:lastModifiedBy>
  <dcterms:created xsi:type="dcterms:W3CDTF">2013-10-22T20:08:19Z</dcterms:created>
  <dcterms:modified xsi:type="dcterms:W3CDTF">2013-11-22T15:45:56Z</dcterms:modified>
</cp:coreProperties>
</file>